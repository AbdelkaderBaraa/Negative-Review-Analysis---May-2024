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drawings/drawing4.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Mouhanned\Downloads\"/>
    </mc:Choice>
  </mc:AlternateContent>
  <xr:revisionPtr revIDLastSave="0" documentId="8_{0CBCC604-598A-4070-B32C-BA845A888193}" xr6:coauthVersionLast="47" xr6:coauthVersionMax="47" xr10:uidLastSave="{00000000-0000-0000-0000-000000000000}"/>
  <bookViews>
    <workbookView xWindow="-120" yWindow="-120" windowWidth="29040" windowHeight="15720" tabRatio="896" activeTab="9" xr2:uid="{00000000-000D-0000-FFFF-FFFF00000000}"/>
  </bookViews>
  <sheets>
    <sheet name="Reporting reviews" sheetId="1" r:id="rId1"/>
    <sheet name="March" sheetId="2" r:id="rId2"/>
    <sheet name="Review analysis_March" sheetId="3" r:id="rId3"/>
    <sheet name="April" sheetId="4" r:id="rId4"/>
    <sheet name="Review analysis_April" sheetId="5" r:id="rId5"/>
    <sheet name="May" sheetId="6" r:id="rId6"/>
    <sheet name="Significant statistics for May" sheetId="7" r:id="rId7"/>
    <sheet name="geographic analysis" sheetId="8" r:id="rId8"/>
    <sheet name="Review analysis_May" sheetId="9" r:id="rId9"/>
    <sheet name="June" sheetId="10" r:id="rId10"/>
  </sheets>
  <definedNames>
    <definedName name="_xlnm._FilterDatabase" localSheetId="7" hidden="1">'geographic analysis'!$A$1:$B$5</definedName>
    <definedName name="_xlnm._FilterDatabase" localSheetId="9" hidden="1">June!$A$1:$O$214</definedName>
    <definedName name="_xlnm._FilterDatabase" localSheetId="5" hidden="1">May!$A$1:$O$988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9" l="1"/>
  <c r="H2" i="9"/>
  <c r="G2" i="9"/>
  <c r="F2" i="9"/>
  <c r="E2" i="9"/>
  <c r="D2" i="9"/>
  <c r="C2" i="9"/>
  <c r="L267" i="6"/>
  <c r="K267" i="6"/>
  <c r="J267" i="6"/>
  <c r="I267" i="6"/>
  <c r="H267" i="6"/>
  <c r="G267" i="6"/>
  <c r="F267" i="6"/>
  <c r="L265" i="6"/>
  <c r="K265" i="6"/>
  <c r="J265" i="6"/>
  <c r="I265" i="6"/>
  <c r="H265" i="6"/>
  <c r="G265" i="6"/>
  <c r="F265" i="6"/>
  <c r="R27" i="5"/>
  <c r="R26" i="5"/>
  <c r="I2" i="5"/>
  <c r="H2" i="5"/>
  <c r="G2" i="5"/>
  <c r="F2" i="5"/>
  <c r="E2" i="5"/>
  <c r="D2" i="5"/>
  <c r="C2" i="5"/>
  <c r="I2" i="3"/>
  <c r="H2" i="3"/>
  <c r="G2" i="3"/>
  <c r="F2" i="3"/>
  <c r="E2" i="3"/>
  <c r="D2" i="3"/>
  <c r="C2" i="3"/>
</calcChain>
</file>

<file path=xl/sharedStrings.xml><?xml version="1.0" encoding="utf-8"?>
<sst xmlns="http://schemas.openxmlformats.org/spreadsheetml/2006/main" count="3770" uniqueCount="1691">
  <si>
    <t>Uploade the list of reviews from each platform : 
1-Copy the list of reviews
2-Paste on chatgpt "Reviews Table Creator"
3-Copy paste in "2024_DWT"</t>
  </si>
  <si>
    <t>rate less than 6</t>
  </si>
  <si>
    <t>Review deleted</t>
  </si>
  <si>
    <t>Platfrom</t>
  </si>
  <si>
    <t>Date</t>
  </si>
  <si>
    <t>Guest Name</t>
  </si>
  <si>
    <t>Nationality</t>
  </si>
  <si>
    <t>Reservation Number</t>
  </si>
  <si>
    <t>Overall Rating</t>
  </si>
  <si>
    <t>Staff</t>
  </si>
  <si>
    <t>Cleanliness</t>
  </si>
  <si>
    <t>Location</t>
  </si>
  <si>
    <t>Facilities</t>
  </si>
  <si>
    <t>Comfort</t>
  </si>
  <si>
    <t>Value for Money</t>
  </si>
  <si>
    <t>Positive Comments</t>
  </si>
  <si>
    <t>Negative Comments</t>
  </si>
  <si>
    <t>Additional Notes &amp; Commentary</t>
  </si>
  <si>
    <t>BDC</t>
  </si>
  <si>
    <t>Elif</t>
  </si>
  <si>
    <t>Turkey</t>
  </si>
  <si>
    <t>Perfect location</t>
  </si>
  <si>
    <t>Insufficient bathrooms in the morning</t>
  </si>
  <si>
    <t>Capsules are clean.</t>
  </si>
  <si>
    <t>Berg Nitsche</t>
  </si>
  <si>
    <t>Denmark</t>
  </si>
  <si>
    <t>WiFi: 7.5, Bed rating: 7.5</t>
  </si>
  <si>
    <t>Nataliia</t>
  </si>
  <si>
    <t>Ukraine</t>
  </si>
  <si>
    <t>Ideal location, impeccable bed, clean creaks ☺️</t>
  </si>
  <si>
    <t>2 toilets for 20 capsules, cool shower, additional fees for towels and no slippers</t>
  </si>
  <si>
    <t>Carefully read the description of what is included and what is not.</t>
  </si>
  <si>
    <t>Galymzhan</t>
  </si>
  <si>
    <t>Czech Republic</t>
  </si>
  <si>
    <t>Bed rating: 7.5</t>
  </si>
  <si>
    <t>Malek</t>
  </si>
  <si>
    <t>United Kingdom</t>
  </si>
  <si>
    <t>Dzintra</t>
  </si>
  <si>
    <t>Latvia</t>
  </si>
  <si>
    <t>Cozy bar, light ventilation</t>
  </si>
  <si>
    <t>No hot drinks, confusing electronic keys, no phone charging</t>
  </si>
  <si>
    <t>Capsule is a great economical alternative for an overnight stay.</t>
  </si>
  <si>
    <t>Maja</t>
  </si>
  <si>
    <t>Norway</t>
  </si>
  <si>
    <t>Paulina</t>
  </si>
  <si>
    <t>Poland</t>
  </si>
  <si>
    <t>Great location</t>
  </si>
  <si>
    <t>No lockers for backpacks</t>
  </si>
  <si>
    <t>Sam</t>
  </si>
  <si>
    <t>Monika</t>
  </si>
  <si>
    <t>Comfortable bed, great location, nice staff and facilities</t>
  </si>
  <si>
    <t>Not enough toilets and showers, cleanliness issues</t>
  </si>
  <si>
    <t>Good for short budget-friendly stay.</t>
  </si>
  <si>
    <t>Rebecca</t>
  </si>
  <si>
    <t>Germany</t>
  </si>
  <si>
    <t>Own capsule concept</t>
  </si>
  <si>
    <t>Bed rating: 10</t>
  </si>
  <si>
    <t>Melanie</t>
  </si>
  <si>
    <t>Austria</t>
  </si>
  <si>
    <t>Simone</t>
  </si>
  <si>
    <t>Italy</t>
  </si>
  <si>
    <t>The capsule is very comfortable and clean. The position is fantastic.</t>
  </si>
  <si>
    <t>The toilets weren’t working properly and there’s no place to put your belongings. It’s okay if you travel light and there is room for a backpack in the capsule but otherwise you have to leave everything in the hallway.</t>
  </si>
  <si>
    <t>Good idea for a short stay at a very low price</t>
  </si>
  <si>
    <t>Yagmur</t>
  </si>
  <si>
    <t>Sweet people, location, comfortable beds and the lobby bar were very nice.</t>
  </si>
  <si>
    <t>The bathroom on the floor where the rooms were in a bit of a jam, so we couldn't use the bathroom section, and the smell of the toilet was spreading to the room floor.</t>
  </si>
  <si>
    <t>Translated from Turkish - Show original</t>
  </si>
  <si>
    <t>Eileen</t>
  </si>
  <si>
    <t>Vietnam</t>
  </si>
  <si>
    <t>Good value for your money, great location!</t>
  </si>
  <si>
    <t>The place smelled bad, like it just constantly smelled like poo. I don't know if someone has a bad stomach from drinking or something they ate, but everything just smelled very strongly of poop. The capsule was sometimes an excellent temperature for sleeping and then, the last night I was so hot I was sweating and had to open the door to get it cooler in there. I'm not sure why it became so hot that night. It could be they turned up the heat in the hostel generally and it became stuffy. Other nights were completely comfortable though. I will say that even though you have your own capsules and can block out most people talking, for some reason someone was exceedingly heavy footed. Like, to the point that my bed was shaking from the noise/banging. This happened several mornings in a row and kind of ruined my sleep (like starting at 5:30 in the morning sort of early/late). Finally, this is more something the hostel can address, there weren't many locations to hang towels and winter coats. I think if they added a locked for each bed, it would greatly improve the quality of the stay. I slept with my bag and my shoes because they were quite expensive and I couldn't risk someone stealing them. That being said, I don't think anyone would have. I just didn't want to risk it.</t>
  </si>
  <si>
    <t>Additional categories: Bed rating: 10</t>
  </si>
  <si>
    <t>Areen</t>
  </si>
  <si>
    <t>Alessia Iuliana</t>
  </si>
  <si>
    <t>Romania</t>
  </si>
  <si>
    <t>Tahir</t>
  </si>
  <si>
    <t>It's nice and quiet</t>
  </si>
  <si>
    <t>Toilet</t>
  </si>
  <si>
    <t>Translated from Danish - Show original</t>
  </si>
  <si>
    <t>Zeynep Dilara</t>
  </si>
  <si>
    <t>Clean, best location, comfortable bed</t>
  </si>
  <si>
    <t>Shared bathrooms are not that much clean, noisy</t>
  </si>
  <si>
    <t>Azrina Saafira</t>
  </si>
  <si>
    <t>Viktoria</t>
  </si>
  <si>
    <t>Hungary</t>
  </si>
  <si>
    <t>The location is really good, all the sights are in 20-25 minutes walk from there. The metro station is 5 mins walk and the airport is 25 minutes by metro altogether. The capsule is comfortable for one person, there is light and fan inside. It's a great accommodation with this price &amp; location.</t>
  </si>
  <si>
    <t>There is a sign that the capsule area is "silent area", but if there is just one group of friends or a couple who don't respect this, it's impossible to sleep.</t>
  </si>
  <si>
    <t>Additional categories: Bed rating: 7.5</t>
  </si>
  <si>
    <t>Mateusz</t>
  </si>
  <si>
    <t>Jerimias</t>
  </si>
  <si>
    <t>Greenland</t>
  </si>
  <si>
    <t>Lilian</t>
  </si>
  <si>
    <t>Spain</t>
  </si>
  <si>
    <t>Vincent</t>
  </si>
  <si>
    <t>Additional categories: WiFi: 7.5</t>
  </si>
  <si>
    <t>Kaisa</t>
  </si>
  <si>
    <t>Super central location, nice staff. Low price.</t>
  </si>
  <si>
    <t>Smells bad. No air conditioning inside the capsules, so it gets hot at night and thus difficult to sleep. The bathrooms are not as in the pictures, they smell of urine and smoke. We booked a single room and a double room. It turned out that these were the same size, although one cost more.</t>
  </si>
  <si>
    <t>Additional categories: Bed rating: 2.5. Translated from Norwegian - Show original</t>
  </si>
  <si>
    <t>Louise</t>
  </si>
  <si>
    <t>Nice location. Super sweet staff. Nice atmosphere and all over a nice place.</t>
  </si>
  <si>
    <t>The room of the capsule was smelling quite strongly. There’s not place to put the bags separate from the capsule, so it ends in bed with you. Would be nice with a separate place for bags, shoes etc. The door lacks a spring so it slammed quite hard, which went on until 4am.</t>
  </si>
  <si>
    <t>Good, cheap, and friendly all over. Good dining and spots to visit near.</t>
  </si>
  <si>
    <t>Florence</t>
  </si>
  <si>
    <t>France</t>
  </si>
  <si>
    <t>Non! Une horreur!</t>
  </si>
  <si>
    <t>Such a place should be forbidden, it is unacceptable to sleep like this, the place duplicates small cells to make more profit and presents you these horrible cells as private space to push up the price. Additional categories: WiFi: 2.5, Bed rating: 2.5, Room view: 2.5</t>
  </si>
  <si>
    <t>Argandona</t>
  </si>
  <si>
    <t>Nice atmosphere, very helpful staff</t>
  </si>
  <si>
    <t>Unfortunately, they stole a sweater, I forgot it for a couple of hours inside the bathroom and I never found it again.</t>
  </si>
  <si>
    <t>Translated from Italian - Show original</t>
  </si>
  <si>
    <t>Mazlum</t>
  </si>
  <si>
    <t>Viktar</t>
  </si>
  <si>
    <t>Belarus</t>
  </si>
  <si>
    <t>Good location</t>
  </si>
  <si>
    <t>Not very comfortable toilets and shower cabins. Also it’s strange that for 22 people only two toilet cabins and three shower cabins in use. No room to dry your washed clothes, always strange smell and old windows that are difficult to close.</t>
  </si>
  <si>
    <t>Dyab Jarkas</t>
  </si>
  <si>
    <t>Belgium</t>
  </si>
  <si>
    <t>Daniele</t>
  </si>
  <si>
    <t>Capsule was too hot, dirty toilet, bad people inside</t>
  </si>
  <si>
    <t>Additional categories: Room view: 2.5</t>
  </si>
  <si>
    <t>Adriana9311</t>
  </si>
  <si>
    <t>Portugal</t>
  </si>
  <si>
    <t>Additional categories: Bed rating: 10. Location</t>
  </si>
  <si>
    <t>Nareeluck</t>
  </si>
  <si>
    <t>Thailand</t>
  </si>
  <si>
    <t>Good location, Big room</t>
  </si>
  <si>
    <t>Difficult to flush. No bath towel. No lift.</t>
  </si>
  <si>
    <t>Michelle</t>
  </si>
  <si>
    <t>It's a very nice place with an excellent location</t>
  </si>
  <si>
    <t>Pauline</t>
  </si>
  <si>
    <t>J</t>
  </si>
  <si>
    <t>Maria</t>
  </si>
  <si>
    <t>United States</t>
  </si>
  <si>
    <t>Sandra</t>
  </si>
  <si>
    <t>Lithuania</t>
  </si>
  <si>
    <t>Great location, great Wi-Fi, friendly staff, value for money, pretty modern inside, entrance to the room with a code, the room was very small, but enough for one person, the showers were always empty during my stay, which was nice.</t>
  </si>
  <si>
    <t>The walls weren't sound-proof and I woke up multiple times at night. Encountered a small bug on a wall, also the dust and a hair on the floor indicate the room wasn't well cleaned before my arrival. The toilet didn't work on my floor, so I had to use the one upstairs (and there was only one as well). Minor minus - no place to hang clothes or even your coat (uncomfortable during winters) - had to use the door handle.</t>
  </si>
  <si>
    <t>Nyvold</t>
  </si>
  <si>
    <t>The view of the cozy courtyard, sitting in the courtyard and enjoying the weather, the hotel's cozy couple's room and the location itself in Nyhavn. As well as excellent service on site.</t>
  </si>
  <si>
    <t>Translated from Danish - Show original. Great stay once again. We have stayed overnight at Hotel Nyhavn63 before and every time it is a great pleasure. If you just want to stay one night and go out to see the city and eat, it really is a good choice of hotel. Considering the price and if you choose a room only for 2, you really get a good experience for the money. Nice small and neat room, with modest furnishings and a pleasant view from the window down to the courtyard. Amazingly sweet staff on site who are always helpful. We look forward to coming again and again.</t>
  </si>
  <si>
    <t>Yu</t>
  </si>
  <si>
    <t>Bruno</t>
  </si>
  <si>
    <t>Well located. Incredible staff.</t>
  </si>
  <si>
    <t>Very dirty. Very noisy. Toilets on our floor didn’t work and were filled with feces that people could not flush. Our capsule didn’t feel clean and there were hairs all over the place.</t>
  </si>
  <si>
    <t>I do not recommend and will definitely avoid this place in the future. The only positive thing was the staff. Really helpful.</t>
  </si>
  <si>
    <t>Ella</t>
  </si>
  <si>
    <t>Sweden</t>
  </si>
  <si>
    <t>The flexibility!</t>
  </si>
  <si>
    <t>It was SO hot inside the premises and the capsules.</t>
  </si>
  <si>
    <t>Translated from Swedish.</t>
  </si>
  <si>
    <t>Thirukkumar</t>
  </si>
  <si>
    <t>Helen</t>
  </si>
  <si>
    <t>Location, unique building, nice warm lobby with games provided.</t>
  </si>
  <si>
    <t>No hot drinks at bar, toilets didn’t flush well.</t>
  </si>
  <si>
    <t>Excellent location, fabulous city.</t>
  </si>
  <si>
    <t>Toke</t>
  </si>
  <si>
    <t>Julia</t>
  </si>
  <si>
    <t>Location excellent! Great for the price! Highly recommended for short trips.</t>
  </si>
  <si>
    <t>Door to the toilet relatively loud.</t>
  </si>
  <si>
    <t>Translated from German.</t>
  </si>
  <si>
    <t>Katy</t>
  </si>
  <si>
    <t>The location ideal for visiting Copenhagen. All points of interest are nearby. A supermarket 5 minutes walk. The friendliness of the staff.</t>
  </si>
  <si>
    <t>Some slight noise at night but minimal.</t>
  </si>
  <si>
    <t>Translated from French.</t>
  </si>
  <si>
    <t>Beatrice</t>
  </si>
  <si>
    <t>Great location! We walked everywhere without ever having to take public transportation.</t>
  </si>
  <si>
    <t>There were only two bathrooms for a room of 20/30, so not always very clean.</t>
  </si>
  <si>
    <t>Translated from Italian.</t>
  </si>
  <si>
    <t>Vlierboom</t>
  </si>
  <si>
    <t>Netherlands</t>
  </si>
  <si>
    <t>The location.</t>
  </si>
  <si>
    <t>The capsules, and the lack of ventilation. There was no rest in the sleeping quarters and people kept coming in drunk.</t>
  </si>
  <si>
    <t>Translated from Dutch.</t>
  </si>
  <si>
    <t>Katarzyna</t>
  </si>
  <si>
    <t>Location and price.</t>
  </si>
  <si>
    <t>Little privacy.</t>
  </si>
  <si>
    <t>Translated from Polish.</t>
  </si>
  <si>
    <t>Gils</t>
  </si>
  <si>
    <t>Katharina</t>
  </si>
  <si>
    <t>The atmosphere was great, because it was already a dorm, so you had the opportunity to meet a lot of people. But you had privacy at the same time.</t>
  </si>
  <si>
    <t>This is now complaining at the highest level, but in the capsule there was a small button that always lit up at night. If you know that and it bothers you, but you can hide it easy.</t>
  </si>
  <si>
    <t>Beautiful city, nice people, but unfortunately a bit expensive. Translated from German.</t>
  </si>
  <si>
    <t>Natálie</t>
  </si>
  <si>
    <t>Embla</t>
  </si>
  <si>
    <t>WolfVoyager</t>
  </si>
  <si>
    <t>The capsule down ours didn’t stop talking the whole night even though many people shushed and told them to be quiet, moreover we knocked on their “door”. The capsule itself is really small even though I stayed with my sister and we are not tall. It’s really really hot inside and air conditioner only makes a noise, not even sure if it’s working. The light inside is so bad that you cannot literally see anything. They only have USB charger, so we couldn’t charge our pc. Only 2 toilets are available for the whole floor? When we walked into the toilet area, it was floating with water. Cannot even describe how unhygienic it is. Whenever people walk you can hear everything. EVERYTHING. We were so scared that our stuff will get stolen, we slept with our luggages and shoes inside the capsule (imagine, capsule is small and you also put your luggage inside).</t>
  </si>
  <si>
    <t>Terrible experience. When we arrived, they told us they are cleaning therefore we need to wait 15 minutes, we said okay and sat next to the reception area. Later on, some other people came in and they accepted their check-in, not saying anything to us though they knew we were waiting, so I asked can we also check in too, and after that they said yes?</t>
  </si>
  <si>
    <t>John</t>
  </si>
  <si>
    <t>Peru</t>
  </si>
  <si>
    <t>Arnas</t>
  </si>
  <si>
    <t>Perfect for solo travelers.</t>
  </si>
  <si>
    <t>Lack of modern design. Comparing with Poland they have their capsules in the City center too. But it’s much more advanced. It would be dope to see that place renovated a little bit more.</t>
  </si>
  <si>
    <t>Anastasiia</t>
  </si>
  <si>
    <t>Georgia</t>
  </si>
  <si>
    <t>Large capsules, plenty of space, convenient stairs, well equipped inside.</t>
  </si>
  <si>
    <t>The shower was clogged, it was a little cool in the shower area.</t>
  </si>
  <si>
    <t>Translated from Russian.</t>
  </si>
  <si>
    <t>Figueroa</t>
  </si>
  <si>
    <t>Translated from Spanish.</t>
  </si>
  <si>
    <t>Giorgio</t>
  </si>
  <si>
    <t>Nina</t>
  </si>
  <si>
    <t>Cozy and private sleeping space and location.</t>
  </si>
  <si>
    <t>Disgusting toilet and clogged shower.</t>
  </si>
  <si>
    <t>Dirty and too few shower/toilets.</t>
  </si>
  <si>
    <t>Anna-Lena</t>
  </si>
  <si>
    <t>The lobby and the room with the capsules were very comfortable and appealing.</t>
  </si>
  <si>
    <t>The shared bathrooms were very dirty and it stank very badly in part. You could not ventilate the rooms with the capsules well. In the capsule it got very warm for two and the ventilation could not hold against it unfortunately.</t>
  </si>
  <si>
    <t>Enough for one night. Translated from German.</t>
  </si>
  <si>
    <t>Matías</t>
  </si>
  <si>
    <t>Chile</t>
  </si>
  <si>
    <t>The capsule was spacious and with a very good mattress.</t>
  </si>
  <si>
    <t>The bathrooms/showers were clearly insufficient for the number of people on the floor. We are talking about a mixed bathroom with 2 w/c and 2 showers for 20 people? The toilet almost non-existent.</t>
  </si>
  <si>
    <t>Capsule great except the bathroom. Translated from Spanish.</t>
  </si>
  <si>
    <t>Louis</t>
  </si>
  <si>
    <t>The capsules, the adventure of it. Downstairs bar area was very nice with stuff to do.</t>
  </si>
  <si>
    <t>The other guests and capsule got warm at times.</t>
  </si>
  <si>
    <t>Very happy with the accommodation.</t>
  </si>
  <si>
    <t>Erika</t>
  </si>
  <si>
    <t>Exceptional location, could not be improved. We traveled as a group of young people and it was very interesting and curious the concept of capsules, we loved it. The space was good, it was not very hot inside the capsules and they were quite well soundproofed. The employees are charming and the bar facilities are ideal. Due to the temp of when we went there we didn't cover a while there while we played the free board games offered at the facility.</t>
  </si>
  <si>
    <t>Great experience. Translated from Spanish.</t>
  </si>
  <si>
    <t>Semih</t>
  </si>
  <si>
    <t>Fatih</t>
  </si>
  <si>
    <t>Zoe</t>
  </si>
  <si>
    <t>Lilla</t>
  </si>
  <si>
    <t>The capsule was comfortable, the staff were nice.</t>
  </si>
  <si>
    <t>The charger didn't work in the first capsule, but then we got another capsule. The bathroom could have been cleaned several times, sometimes there were no hand towels.</t>
  </si>
  <si>
    <t>We had a lot of fun. Translated from Hungarian.</t>
  </si>
  <si>
    <t>Daniel</t>
  </si>
  <si>
    <t>I liked the capsule.</t>
  </si>
  <si>
    <t>The fact of having only one toilet for 30 people, which was clogged most of the time. The service was mediocre and the drink I ordered was terrible. Little privacy in the capsules.</t>
  </si>
  <si>
    <t>Translated from Portuguese.</t>
  </si>
  <si>
    <t>Matte Cassietto</t>
  </si>
  <si>
    <t>Good location, excellent receptionist</t>
  </si>
  <si>
    <t>Dirty and clogged bathrooms</t>
  </si>
  <si>
    <t>Niklas</t>
  </si>
  <si>
    <t>Anton</t>
  </si>
  <si>
    <t>Arash</t>
  </si>
  <si>
    <t>Beautiful centrally located hotel with thin walls and loud travelers</t>
  </si>
  <si>
    <t>Inner courtyard vibe, minimalist decoration in the room, central location of hotel in a beautiful historic neighborhood.</t>
  </si>
  <si>
    <t>Very thin walls, and hearing next door talking loud after midnight.</t>
  </si>
  <si>
    <t>Bilal</t>
  </si>
  <si>
    <t>Hotel in very good location.</t>
  </si>
  <si>
    <t>Toilets are a little bit problematic - small WC, and only one restroom for whole rooms and capsules.</t>
  </si>
  <si>
    <t>Jintao</t>
  </si>
  <si>
    <t>Good value for money</t>
  </si>
  <si>
    <t>No choice of location</t>
  </si>
  <si>
    <t>The corridor is too cold, the bathroom could be cleaner</t>
  </si>
  <si>
    <t>Veronika</t>
  </si>
  <si>
    <t>Dana</t>
  </si>
  <si>
    <t>Danilovic</t>
  </si>
  <si>
    <t>Serbia</t>
  </si>
  <si>
    <t>Larissa</t>
  </si>
  <si>
    <t>Erkay</t>
  </si>
  <si>
    <t>Bohdan</t>
  </si>
  <si>
    <t>Yin Myo</t>
  </si>
  <si>
    <t>United Arab Emirates</t>
  </si>
  <si>
    <t>Caoimhe</t>
  </si>
  <si>
    <t>Ireland</t>
  </si>
  <si>
    <t>Location is fantastic and even if a couple of minor situations occurred the staff and guests made it worth while.</t>
  </si>
  <si>
    <t>I can’t really say the property caused any stress, I was just unlucky and had problems while booking but it had nothing to do with the property.</t>
  </si>
  <si>
    <t>Yaroslav</t>
  </si>
  <si>
    <t>XXXXLL</t>
  </si>
  <si>
    <t>Mihail</t>
  </si>
  <si>
    <t>Milena</t>
  </si>
  <si>
    <t>Annika</t>
  </si>
  <si>
    <t>SANTOSH</t>
  </si>
  <si>
    <t>Mubadir</t>
  </si>
  <si>
    <t>Ilka</t>
  </si>
  <si>
    <t>Anne</t>
  </si>
  <si>
    <t>Phoebe</t>
  </si>
  <si>
    <t>Its location was great!</t>
  </si>
  <si>
    <t>We were given a different room to what we paid for. We paid for a room with a private bathroom and we did not have a private bathroom. All the communal toilets that we were able to access were out of order and there wasn’t 24/7 access to the toilets downstairs in the restaurant.</t>
  </si>
  <si>
    <t>SHANSHAN</t>
  </si>
  <si>
    <t>The location is very good, very convenient to go anywhere, ^_^</t>
  </si>
  <si>
    <t>The room smelled like feet, and it felt like the quilt cover and pillowcases were not new.</t>
  </si>
  <si>
    <t>Szymon</t>
  </si>
  <si>
    <t>Pavel</t>
  </si>
  <si>
    <t>Close to the center, you can just climb the courtyard and admire the beauty of Copenhagen</t>
  </si>
  <si>
    <t>Although the capsule is lockable, there is no night light in the corridor. Two toilets for a lot of people two showers for a lot of people 😡</t>
  </si>
  <si>
    <t>Vasilachi</t>
  </si>
  <si>
    <t>Jasmin Marianne</t>
  </si>
  <si>
    <t>The location</t>
  </si>
  <si>
    <t>Cleanliness, Facilities, Volume, Ventilation</t>
  </si>
  <si>
    <t>Translated from German</t>
  </si>
  <si>
    <t>Diego</t>
  </si>
  <si>
    <t>Melissa</t>
  </si>
  <si>
    <t>Excellent location, nice building and very cheap to be in Copenhagen</t>
  </si>
  <si>
    <t>Bathrooms always dirty, capsule with air circulation problems</t>
  </si>
  <si>
    <t>Anna</t>
  </si>
  <si>
    <t>Rosemary</t>
  </si>
  <si>
    <t>Only 2 toilets for several people, also the toilets are super cramped</t>
  </si>
  <si>
    <t>Translated from Swedish</t>
  </si>
  <si>
    <t>Franziska</t>
  </si>
  <si>
    <t>Too little toilet for many people. Very cramped toilet</t>
  </si>
  <si>
    <t>William</t>
  </si>
  <si>
    <t>Giuseppina</t>
  </si>
  <si>
    <t>Excellent and strategic location in the center of Copenhagen</t>
  </si>
  <si>
    <t>Great location. Cleaning of the bathrooms during the night time</t>
  </si>
  <si>
    <t>Translated from Italian</t>
  </si>
  <si>
    <t>Jhil Dominic</t>
  </si>
  <si>
    <t>Bing</t>
  </si>
  <si>
    <t>The location is good, that's the only advantage</t>
  </si>
  <si>
    <t>Very bad, very bad, I hope everyone will not come and stay here. I booked a single room, but the conditions were very poor. There was nothing but a bed, and my luggage could only be placed on the bed. The sound insulation was very poor, and I could hear every sound of moving around and closing the door. The toilet on the second floor was broken and could not be used. Everyone had to use the toilet on the third floor, which meant that about 30-40 people shared two toilets. Very very poor.</t>
  </si>
  <si>
    <t>Translated from Mandarin</t>
  </si>
  <si>
    <t>Nathan -</t>
  </si>
  <si>
    <t>South Africa</t>
  </si>
  <si>
    <t>Location, staff friendliness such as Lorenzo and Paula who were very kind and helpful</t>
  </si>
  <si>
    <t>Atsushi</t>
  </si>
  <si>
    <t>Japan</t>
  </si>
  <si>
    <t>Antonino</t>
  </si>
  <si>
    <t>Sleeping in a capsule for the first time surprised me positively. The atmosphere of the fairy-tale inner courtyard. The hospitality of Wilma at the reception was exemplary, making me feel right at home.</t>
  </si>
  <si>
    <t>I would have preferred a shared kitchen and dining room as in many other places.</t>
  </si>
  <si>
    <t>Vadym</t>
  </si>
  <si>
    <t>Rumeysa</t>
  </si>
  <si>
    <t>Kenji</t>
  </si>
  <si>
    <t>Australia</t>
  </si>
  <si>
    <t>Best value on good location. Location. Cleanliness. Price. Capsule can be locked for security.</t>
  </si>
  <si>
    <t>2 party people on Saturday night. Other 20 people are nice and quiet. This is not a fault of the hostel though. Bathroom is quite busy. Mixed.</t>
  </si>
  <si>
    <t>Mary Joy</t>
  </si>
  <si>
    <t>Charlie</t>
  </si>
  <si>
    <t>Finn</t>
  </si>
  <si>
    <t>Luisa</t>
  </si>
  <si>
    <t>Very good location</t>
  </si>
  <si>
    <t>Little bit small toilets</t>
  </si>
  <si>
    <t>Eugene</t>
  </si>
  <si>
    <t>Russia</t>
  </si>
  <si>
    <t>When we arrived at the hostel our capsule was not cleaned, so staff moved us to a more comfortable double room. Huge thanks! Beautiful historical building, cozy bar on the 1st floor. Recommended!</t>
  </si>
  <si>
    <t>A bit cold in common areas. No kitchen, but bar can provide you with all tableware if needed.</t>
  </si>
  <si>
    <t>Nicolas</t>
  </si>
  <si>
    <t>Tanya</t>
  </si>
  <si>
    <t>Cozy room in beautiful location, value for money! Staff was very friendly and room was super cozy!</t>
  </si>
  <si>
    <t>Shower was a bit clogged and not super clean</t>
  </si>
  <si>
    <t>GHM</t>
  </si>
  <si>
    <t>Bishal</t>
  </si>
  <si>
    <t>Genaro</t>
  </si>
  <si>
    <t>Mexico</t>
  </si>
  <si>
    <t>Privacy</t>
  </si>
  <si>
    <t>Bathrooms a little dirty</t>
  </si>
  <si>
    <t>Translated from Spanish</t>
  </si>
  <si>
    <t>Angelina</t>
  </si>
  <si>
    <t>Would recommend! The location is great, the capsule is big, pretty clean and comfortable. Staff was very nice. :)</t>
  </si>
  <si>
    <t>There was no soap in the bathroom and it was very cold outside the capsule</t>
  </si>
  <si>
    <t>Rita</t>
  </si>
  <si>
    <t>Location. Staff who handled the cleaning/tidying of the capsules.</t>
  </si>
  <si>
    <t>No light inside the capsule, it was broken; Bathroom too small for so many people and always dirty.</t>
  </si>
  <si>
    <t>Value is low but not worth it.</t>
  </si>
  <si>
    <t>Andrei</t>
  </si>
  <si>
    <t>Moldova</t>
  </si>
  <si>
    <t>EXP</t>
  </si>
  <si>
    <t>Matthew</t>
  </si>
  <si>
    <t>Difficult to find</t>
  </si>
  <si>
    <t>Comment from Hotel Management on 04/19/2024: We are currently taking action to make it easier.</t>
  </si>
  <si>
    <t>Akiho</t>
  </si>
  <si>
    <t>Clean and safe!</t>
  </si>
  <si>
    <t>Comment from Hotel Management on 04/30/2024: Lovely to hear you enjoyed the stay!</t>
  </si>
  <si>
    <t>HWL</t>
  </si>
  <si>
    <t>Carly</t>
  </si>
  <si>
    <t>Bathing suit was stolen off the hook while it was drying…bathrooms were absolutely foul. I’d never stay here again</t>
  </si>
  <si>
    <t>Jasmina</t>
  </si>
  <si>
    <t>We were very happy to visit this accommodation. We were impressed by the location and the great atmosphere. It was very cozy and pleasant. We could store our luggage in a room.</t>
  </si>
  <si>
    <t>Unfortunately, it was so noisy that we woke up at night whenever doors slammed or people talked. The bathroom could be cleaner.</t>
  </si>
  <si>
    <t>Aiham</t>
  </si>
  <si>
    <t>Very good value for money, especially with the nice private room I got. The bed was very comfortable. The bathrooms were clean, but it's a bit of a walk, can't complain for the prices.</t>
  </si>
  <si>
    <t>The staff are super nice, cute, and helpful.</t>
  </si>
  <si>
    <t>Jane</t>
  </si>
  <si>
    <t>Lindsey</t>
  </si>
  <si>
    <t>Probably my favorite hostel I’ve ever stayed in!! The pod was huge, felt king sized, and the passcode on the door of the pod locked both ways so I felt super secure and safe.</t>
  </si>
  <si>
    <t>AIRBNB</t>
  </si>
  <si>
    <t>Jenna</t>
  </si>
  <si>
    <t>The location was perfect and the building was beautiful, both outside and inside. It is right on the Nyhavn, and it was beautiful all lit up at night. The receptionists were very friendly and helpful, and it was easy to find the room inside the building.The receptionists were very friendly and helpful. Spotless furniture &amp; linen, free of clutter. Overall a good experience.</t>
  </si>
  <si>
    <t>The host was not responsive even after having been messaged 4 times in the span of about 24 hours, and didn’t respond until after 11pm, which was 8 hours past my check-in. The walls are thin- we could hear people to the sides of us and above us, but Sunday night was more quiet.</t>
  </si>
  <si>
    <t>Make sure to pay attention to the staircase you walk down because one leads you down to the lobby and the other is a fire escape which is locked at the bottom.</t>
  </si>
  <si>
    <t>Antonela</t>
  </si>
  <si>
    <t>The walls are super thin so you can hear other people like they’re in your room. If you’re a light sleeper, I do not recommend.</t>
  </si>
  <si>
    <t>Needs maintenance, Unexpected noise, Unresponsive Host</t>
  </si>
  <si>
    <t>Rocky</t>
  </si>
  <si>
    <t>Reached out to host day before the first night stay for the access code, 2 more times on the day of and had to contact AirBNB support to force a refund.</t>
  </si>
  <si>
    <t>Non responsive host, refunded booking</t>
  </si>
  <si>
    <t>Maria Carla</t>
  </si>
  <si>
    <t>Great!!</t>
  </si>
  <si>
    <t>Alistar</t>
  </si>
  <si>
    <t>Friendly staff and the room is decent value for money</t>
  </si>
  <si>
    <t>Toilet being out of order on my floor was a slight pain.</t>
  </si>
  <si>
    <t>Could do with some clearer instructions on where it is.</t>
  </si>
  <si>
    <t>Google</t>
  </si>
  <si>
    <t>Fred Fredrickson</t>
  </si>
  <si>
    <t>Big problem with theft. Wallet taken from pants while sleeping. Another guest had a laptop stolen, and a friend had clothing taken from his bag while sleeping.</t>
  </si>
  <si>
    <t>Luka</t>
  </si>
  <si>
    <t>The location and price are positive.</t>
  </si>
  <si>
    <t>Horrible hostel, same as 'Bedwood Hostel' which is permanently closed due to bad reviews. No lockers, disgusting bathroom with mold, only 2 toilets for 30 people that don't flush. Bad smell, squeaky doors, noisy capsules with no light, capsule smelled like stinky feet. Cheapest option in Copenhagen but not worth it.</t>
  </si>
  <si>
    <t>Translated from Google. The hostel still officially calls itself 'Bedwood'. No light in capsules, loss of light when charging a mobile phone.</t>
  </si>
  <si>
    <t>Dirty Room</t>
  </si>
  <si>
    <t>Staff Not Helpful</t>
  </si>
  <si>
    <t>Disrespect</t>
  </si>
  <si>
    <t>Dirty Toilets</t>
  </si>
  <si>
    <t>Noise</t>
  </si>
  <si>
    <t>Bed Bugs</t>
  </si>
  <si>
    <t>Poor Facilities</t>
  </si>
  <si>
    <t>Ocuurence</t>
  </si>
  <si>
    <t>Matte</t>
  </si>
  <si>
    <t>Rosemary (1)</t>
  </si>
  <si>
    <t>Rosemary (2)</t>
  </si>
  <si>
    <t>Nathan</t>
  </si>
  <si>
    <t>Quah</t>
  </si>
  <si>
    <t>Malaysia</t>
  </si>
  <si>
    <t>good, very nice, The location is very good</t>
  </si>
  <si>
    <t>Beata</t>
  </si>
  <si>
    <t>Jiří</t>
  </si>
  <si>
    <t>The capsule hotel was completely fine in relation to the price.</t>
  </si>
  <si>
    <t>Orhun</t>
  </si>
  <si>
    <t>It was the worst hotel I have ever stayed in. The hotel was extremely stuffy and as a ventilation they chose to open the windows in the room with capsules at zero degrees Celsius at night. As my capsule was near the window, I was extremely frosty and tried to close the window but they were made undrinkable. I left the hotel 4 days ago and am still very sick. At night I have a lot of trouble sleeping because of my sore throat. In addition, you even had to pay extra for towels. One day someone had urinated instead of the toilet. On the second day it was still not cleaned. Also, you can be sure that if you wake up a little later, the hotel staff will come to clean the other capsules while they are talking loudly and laughing near your sleeping pod which also wakes you up.</t>
  </si>
  <si>
    <t>Bed rating: 5</t>
  </si>
  <si>
    <t>İbrahim Mert</t>
  </si>
  <si>
    <t>Natalie</t>
  </si>
  <si>
    <t>Switzerland</t>
  </si>
  <si>
    <t>Good location but nothing behind it...</t>
  </si>
  <si>
    <t>AKDEMİR</t>
  </si>
  <si>
    <t>Price performance, It's amazing that it's close to Nyhvana. It's just that we use it to sleep, so the price is a performance.</t>
  </si>
  <si>
    <t>Too many capsules on the floor because they use the same toilet bathroom.</t>
  </si>
  <si>
    <t>Melendo Millán</t>
  </si>
  <si>
    <t>WiFi: 7.5, Bed rating: 7.5, Room view: 7.5</t>
  </si>
  <si>
    <t>The location is great, housekeeping staff very friendly.</t>
  </si>
  <si>
    <t>There were 2 men that I think were staff. They were speaking very loudly, laughing loud for over an hour in a silent zone. They were speaking their native language but the fact that I don’t understand them doesn’t mean I can’t hear them.</t>
  </si>
  <si>
    <t>WiFi: 2.5</t>
  </si>
  <si>
    <t>JOHN</t>
  </si>
  <si>
    <t>The capsules are quite large, very comfortable and totally private, everything was very clean. Excellent staff, very attentive even they spoke Spanish. The location in the same center, perfect to visit all the tourist places, and the metro stop very close to go to the central station or to the airport. You can leave your suitcase on the first floor or you bring it up with you there is plenty of space. The wi-fi is very good.</t>
  </si>
  <si>
    <t>Everything was fine.</t>
  </si>
  <si>
    <t>Antonio</t>
  </si>
  <si>
    <t>Aleksandr</t>
  </si>
  <si>
    <t>Bulgaria</t>
  </si>
  <si>
    <t>Jakaria</t>
  </si>
  <si>
    <t>Greece</t>
  </si>
  <si>
    <t>Palle</t>
  </si>
  <si>
    <t>Sanjay</t>
  </si>
  <si>
    <t>Excellent Location, individual rooms are excellent in terms of location and price. Thai restaurant downstairs in the same premises. The reception staff are extremely cooperative.</t>
  </si>
  <si>
    <t>Louisa</t>
  </si>
  <si>
    <t>芷翎</t>
  </si>
  <si>
    <t>Taiwan</t>
  </si>
  <si>
    <t>Birkner</t>
  </si>
  <si>
    <t>It was in the heart of the city, perfectly located and very cheap. Friendly environment, gives a camp atmosphere.</t>
  </si>
  <si>
    <t>Unfortunately, they don't provide towels, although they are quite basic... you can rent them for 2 euros. There is no separate place for the coat and shoes, so you either leave it outside (will it stay there until morning?) or take it inside, but it's quite uncomfortable. There is no kitchen, they give you hot water at the reception if you smile at them nicely.</t>
  </si>
  <si>
    <t>Chloe</t>
  </si>
  <si>
    <t>It was in a great location, the staff were friendly and the capsule was very comfortable</t>
  </si>
  <si>
    <t>Bed rating: 10, Capsule Hotel Nyhavn63</t>
  </si>
  <si>
    <t>Tomoka</t>
  </si>
  <si>
    <t>bathroom and bed smelled not good</t>
  </si>
  <si>
    <t>Subhadip</t>
  </si>
  <si>
    <t>India</t>
  </si>
  <si>
    <t>David</t>
  </si>
  <si>
    <t>The size of the capsule</t>
  </si>
  <si>
    <t>The bathroom was small and just 3 for the whole floor (30/40 people)</t>
  </si>
  <si>
    <t>Stefano</t>
  </si>
  <si>
    <t>Tiffany</t>
  </si>
  <si>
    <t>Very well located, very nice staff, clean capsule, clean toilets and showers</t>
  </si>
  <si>
    <t>Unfortunately only two toilets, a bit small for the many guests</t>
  </si>
  <si>
    <t>Tatiana</t>
  </si>
  <si>
    <t>Volovykova</t>
  </si>
  <si>
    <t>J. Rieder</t>
  </si>
  <si>
    <t>Igor</t>
  </si>
  <si>
    <t>Convenient location</t>
  </si>
  <si>
    <t>Luggage stolen from the storage room, the staff could care less.</t>
  </si>
  <si>
    <t>Don’t leave your luggage in the storage room, it will get stolen and the staff won’t put any effort in trying to help you. Bed was uncomfortable, and the bathroom had a bad odour. Nowhere to store luggage safely and you’ll find yourself struggling for space as you’ll need to keep everything in your room.</t>
  </si>
  <si>
    <t>Dina</t>
  </si>
  <si>
    <t>The bed was good</t>
  </si>
  <si>
    <t>Everyone was making noise around me and I didn't get any sleep</t>
  </si>
  <si>
    <t>It's a shame the guy didn't get any sleep and was very unhappy, people didn't consider others.</t>
  </si>
  <si>
    <t>Santiago</t>
  </si>
  <si>
    <t>Argentina</t>
  </si>
  <si>
    <t>Very nice and good location</t>
  </si>
  <si>
    <t>The bathroom on the first floor did not work</t>
  </si>
  <si>
    <t>The bathroom on the first floor did not work (the showers were very good). We had to go to the bathroom on the ground floor or second floor (the capsules are upstairs and they are not enough).</t>
  </si>
  <si>
    <t>La</t>
  </si>
  <si>
    <t>Very nice facility on the outside, small but cozy lobby. PERFECT location, we walked all over the city on foot. Very nice double capsule, of the right size, with internal light, two plugs for charger, button to activate recirculation of air and button to close the capsule from inside.</t>
  </si>
  <si>
    <t>One in two bathrooms in the double capsule room was clogged, no surface hanger to put things on in the shower room, often finished soap. Very uncomfortable pillows, like not having them. There is no space to store your luggage, except inside the capsule, which however is only equipped with two small hangers, so you are forced to sleep with your bags in the bed. Common areas dusty and cold due to air conditioner running 24 hours a day. Staff not very nice.</t>
  </si>
  <si>
    <t>Essential, functional, excellent location. Too bad for the common areas.</t>
  </si>
  <si>
    <t>Enrico</t>
  </si>
  <si>
    <t>Dennis</t>
  </si>
  <si>
    <t>Angel Andres</t>
  </si>
  <si>
    <t>Laura</t>
  </si>
  <si>
    <t>The TOP location and the comfort of the bed, the smiling and attentive staff</t>
  </si>
  <si>
    <t>The ventilation of the cabin does not work! It's quickly VERY hot, dirty toilets most of the time, except in the morning after the housekeeping team had gone</t>
  </si>
  <si>
    <t>I will not come back, but it was still a good experience overall.</t>
  </si>
  <si>
    <t>Leon</t>
  </si>
  <si>
    <t>The capsule is very large and I found the mattress and the bed linen comfortable as well. In addition, there are in the capsules USB A and USB C outlets for charging devices. There is no socket in the capsule. I found the capsules and the bathroom to be fairly clean.</t>
  </si>
  <si>
    <t>Unfortunately, the wifi connection was in my capsule, which was in the corner of a room very weak. Also, my lighting in the capsule started flickering as soon as you put a device in a USB plug to charge. Towels are not included in the price, but can be borrowed for a small price at the front desk.</t>
  </si>
  <si>
    <t>Great Quality-Price Rate in a perfect location.</t>
  </si>
  <si>
    <t>Fiona</t>
  </si>
  <si>
    <t>Prada</t>
  </si>
  <si>
    <t>Sebastian</t>
  </si>
  <si>
    <t>Mikołaj</t>
  </si>
  <si>
    <t>Very good location, cheap for Copenhagen :)</t>
  </si>
  <si>
    <t>You had to pay extra for towels on site. The air conditioning did not work in our capsule</t>
  </si>
  <si>
    <t>China</t>
  </si>
  <si>
    <t>Location, ambience</t>
  </si>
  <si>
    <t>The broken communal toilet, mold in the corners of the toilets, extremely thin walls</t>
  </si>
  <si>
    <t>Stanislav</t>
  </si>
  <si>
    <t>Caelan</t>
  </si>
  <si>
    <t>The hostel was very well organized and had a very comfortable lounge that I would recommend!</t>
  </si>
  <si>
    <t>I felt safe with the locking system of the pods.</t>
  </si>
  <si>
    <t>The fan inside the pods was on but still felt stuffy in the air.</t>
  </si>
  <si>
    <t>Kit</t>
  </si>
  <si>
    <t>The shared bathroom had not been cleaned and there was a lack of paper and the like.</t>
  </si>
  <si>
    <t>I think there was a lack of a comfortable shared living space, when you only have a capsule to sleep in.</t>
  </si>
  <si>
    <t>Elisa</t>
  </si>
  <si>
    <t>Harry</t>
  </si>
  <si>
    <t>Julien</t>
  </si>
  <si>
    <t>Well located, quiet. Beautiful wooden structure.</t>
  </si>
  <si>
    <t>Only 2 toilets... and really small. A bit too hot in the room.</t>
  </si>
  <si>
    <t>Friendly</t>
  </si>
  <si>
    <t>Iván David</t>
  </si>
  <si>
    <t>The location is perfect.</t>
  </si>
  <si>
    <t>Some people are not respectful and make noise at night</t>
  </si>
  <si>
    <t>but that is luck and not the fault of the accommodation.</t>
  </si>
  <si>
    <t>Surinrak</t>
  </si>
  <si>
    <t>Diana</t>
  </si>
  <si>
    <t>Bernhardtsen</t>
  </si>
  <si>
    <t>Entrance to bath door not working</t>
  </si>
  <si>
    <t>Quiet, relaxing cheap accommodation recommend to others. Haven't had breakfast not been offered but it doesn't matter.</t>
  </si>
  <si>
    <t>daniielito</t>
  </si>
  <si>
    <t>Marie</t>
  </si>
  <si>
    <t>Hans</t>
  </si>
  <si>
    <t>Location Lots of character Great double bed Bar down stairs</t>
  </si>
  <si>
    <t>Shared toilet not working at one point.</t>
  </si>
  <si>
    <t>Jenny</t>
  </si>
  <si>
    <t>Location was perfect! the capsule was clean and spacious</t>
  </si>
  <si>
    <t>There was no light in the capsule and the ventilation did not work very well</t>
  </si>
  <si>
    <t>Ezequiel</t>
  </si>
  <si>
    <t>The location is excellent. Hot water was provided for tea if you request it. Internet worked fine.</t>
  </si>
  <si>
    <t>We didn't like the capsule concept. No common place to chill. No kitchen. No nothing. Not enough toilets and showers for the amount of capsules. Even the employees were complaining about the manager of the place. They started a construction to put more capsules were there was the reception and bar. Noise and workers all around. Impossible to be there.</t>
  </si>
  <si>
    <t>Ramona</t>
  </si>
  <si>
    <t>Courteous staff. Staff was very committed!</t>
  </si>
  <si>
    <t>Couldn't sleep because I heard a bass from the restaurant in my capsule. Staff couldn't do anything about that. Most tourist street in Copenhagen.</t>
  </si>
  <si>
    <t>Wislawa Maria</t>
  </si>
  <si>
    <t>Fantastic location with charming surroundings and nice staff</t>
  </si>
  <si>
    <t>Yuri</t>
  </si>
  <si>
    <t>Simple system, good accessibility, code lock on the capsule - without sound, very good - mixed ages and yet very quiet and functional. I was pleasantly surprised.</t>
  </si>
  <si>
    <t>The toilets were very cramped. You have to push your legs in next to the toilet seat to be able to close the door.</t>
  </si>
  <si>
    <t>Kali</t>
  </si>
  <si>
    <t>B</t>
  </si>
  <si>
    <t>Ali Bilgehan</t>
  </si>
  <si>
    <t>The property is generally clean and very well located. The staff are understanding and helpful. The prices were good as performance. Hot water, air conditioning, and the Internet were fine.</t>
  </si>
  <si>
    <t>The number of bathrooms and toilets wasn't enough.</t>
  </si>
  <si>
    <t>Francesco</t>
  </si>
  <si>
    <t>Badr</t>
  </si>
  <si>
    <t>It was close to the city center what was really enjoyable</t>
  </si>
  <si>
    <t>It was very hot, loud and generally a lot of things going on. It was very difficult to access the toilets as well and there were very few for the amount of people sleeping there.</t>
  </si>
  <si>
    <t>Paweł</t>
  </si>
  <si>
    <t>Silvia</t>
  </si>
  <si>
    <t>Ripaltina</t>
  </si>
  <si>
    <t>The excellent location</t>
  </si>
  <si>
    <t>The shared bathroom</t>
  </si>
  <si>
    <t>Albane</t>
  </si>
  <si>
    <t>The location was great, the staff was nice and the toilets were washed everyday :)</t>
  </si>
  <si>
    <t>I do not recommend this hotel for a long time, we did 5 days and I think it's the maximum to do because you quickly get very hot in the capsules at night if you close it completely. Beware of business theft in this hotel, no cameras are placed either in the room space (even though they are capsules) or in the space where you can leave your stuff on the first/last day of your stay.</t>
  </si>
  <si>
    <t>Bogusławska</t>
  </si>
  <si>
    <t>Harrison</t>
  </si>
  <si>
    <t>Great location.</t>
  </si>
  <si>
    <t>Nothing - all was well.</t>
  </si>
  <si>
    <t>Leal</t>
  </si>
  <si>
    <t>I liked the price and being downtown.</t>
  </si>
  <si>
    <t>The bed makes a lot of noise if we move a little. And the bathroom is inside a container.</t>
  </si>
  <si>
    <t>Ieisha</t>
  </si>
  <si>
    <t>陳</t>
  </si>
  <si>
    <t>The toilet is a bit dirty.</t>
  </si>
  <si>
    <t>Olha</t>
  </si>
  <si>
    <t>The room was big. They gave me a room with a toilet, so I was happy. Separate entrance from the street</t>
  </si>
  <si>
    <t>Shower stalls are cramped</t>
  </si>
  <si>
    <t>Hannah</t>
  </si>
  <si>
    <t>Melani</t>
  </si>
  <si>
    <t>Croatia</t>
  </si>
  <si>
    <t>Pablo</t>
  </si>
  <si>
    <t>Kaya</t>
  </si>
  <si>
    <t>Davide</t>
  </si>
  <si>
    <t>Isaac</t>
  </si>
  <si>
    <t>Mihaela Miha</t>
  </si>
  <si>
    <t>I was very pleasantly surprised by the entire stay in this accommodation. The location was great, the metro was close and you could get around a lot on foot. The cleanliness of the accommodation pleasantly surprised me because it was really clean. The accommodation more than met my expectations and everything was as written in the description of the accommodation.</t>
  </si>
  <si>
    <t>There wasn't anything I didn't like.</t>
  </si>
  <si>
    <t>Judyta</t>
  </si>
  <si>
    <t>The location is a plus.</t>
  </si>
  <si>
    <t>The downside: there was nowhere to leave our backpacks and we had to sleep with them. Which was a great difficulty due to the size of the room. - it quickly became stuffy, even though the fan was running.</t>
  </si>
  <si>
    <t>Borealis</t>
  </si>
  <si>
    <t>A good experience that I would do again. It was a really interesting concept, I have not done a capsule hotel before. Very comfortable bed, and rather soundproof. The building was really cool and very good location.</t>
  </si>
  <si>
    <t>The bathroom was badly attended, one of the toilet was clogged when I got there. There was no way to get air flow while the door was shut so it got very warm in the pod.</t>
  </si>
  <si>
    <t>Minnucci</t>
  </si>
  <si>
    <t>Tina</t>
  </si>
  <si>
    <t>New Zealand</t>
  </si>
  <si>
    <t>Great location, good size of pod room</t>
  </si>
  <si>
    <t>The temperature of the shower facility fluctuates and changes between lukewarm to very hot which is quite dangerous. There's no soundproofing whatsoever for the pods. Very noisy.</t>
  </si>
  <si>
    <t>Andrew</t>
  </si>
  <si>
    <t>Jacinto</t>
  </si>
  <si>
    <t>This is a perfect place to stay in Copenhagen! The location was amazing! The staff were very helpful, facilities were good and everywhere was really clean. We loved our stay here.</t>
  </si>
  <si>
    <t>Nothing, it was perfect for our 2 night stay.</t>
  </si>
  <si>
    <t>Maša</t>
  </si>
  <si>
    <t>Slovenia</t>
  </si>
  <si>
    <t>WiFi: 7.5, Bed rating: 5</t>
  </si>
  <si>
    <t>Riccardo</t>
  </si>
  <si>
    <t>Дима</t>
  </si>
  <si>
    <t>Renate</t>
  </si>
  <si>
    <t>GOOD</t>
  </si>
  <si>
    <t>CAPSULE... INTERESTING</t>
  </si>
  <si>
    <t>good location</t>
  </si>
  <si>
    <t>weak WiFi</t>
  </si>
  <si>
    <t>JOSÉ MARÍA</t>
  </si>
  <si>
    <t>Unbeatable location at a good price. The feeling of comfort within the capsule is good as it is a really ideal bed for 2 people.</t>
  </si>
  <si>
    <t>Maybe the upper cabins should have a ladder or system to access more comfortably. Shower area could do with a little more space to sit and finish dressing.</t>
  </si>
  <si>
    <t>Alisher</t>
  </si>
  <si>
    <t>Kazakhstan</t>
  </si>
  <si>
    <t>María José</t>
  </si>
  <si>
    <t>Guatemala</t>
  </si>
  <si>
    <t>Ekaterina</t>
  </si>
  <si>
    <t>Location was great, friendly staff, nice that there is a bar on reception</t>
  </si>
  <si>
    <t>Very dirty everywhere and smell is awful.</t>
  </si>
  <si>
    <t>Gabriele</t>
  </si>
  <si>
    <t>Karl Thomas</t>
  </si>
  <si>
    <t>Estonia</t>
  </si>
  <si>
    <t>WiFi: 10</t>
  </si>
  <si>
    <t>Serefcan</t>
  </si>
  <si>
    <t>PrzemekRi</t>
  </si>
  <si>
    <t>Good location, interesting capsules, USB inside, comfortable beds, light in the capsule, bar at the reception, helpful staff. Bathroom close. Showers have an interesting design.</t>
  </si>
  <si>
    <t>Even though the windows open, the capsules heat up at night. There are no standard sockets, only access via USB. Toilets are very cramped. No kitchen.</t>
  </si>
  <si>
    <t>Haruka</t>
  </si>
  <si>
    <t>All the staff were friendly and helpful ☺️</t>
  </si>
  <si>
    <t>The toilet was a bit clogged and smelled bad.</t>
  </si>
  <si>
    <t>Gabriela</t>
  </si>
  <si>
    <t>It is interesting. We chose this type of accommodation as an experience and the price wasn’t bad, so why not? It is a capsule, nothing much to say.</t>
  </si>
  <si>
    <t>There was no place to store our luggage. In our ‘room’ we found used chewing tobacco under the mattress and one of the USB ports wasn’t working. The window in a shared bathroom was unable to close. The receptionist was on the phone with a friend.</t>
  </si>
  <si>
    <t>Okan</t>
  </si>
  <si>
    <t>Alternative, not for those suffering from claustrophobia</t>
  </si>
  <si>
    <t>Małgorzata</t>
  </si>
  <si>
    <t>A capsule gives intimacy that standard hostels do not have. Great location! In the very centre of Copenhagen near the canal which is the landmark of the city.</t>
  </si>
  <si>
    <t>Gitangaza</t>
  </si>
  <si>
    <t>Welcoming, excellent location, helpful and kind staff and comfortable capsules</t>
  </si>
  <si>
    <t>Bathrooms at the end of the day were not very clean but ok</t>
  </si>
  <si>
    <t>Ardahan</t>
  </si>
  <si>
    <t>The location, the rooms are very comfortable to sleep in. It was clean except for the drain smell.</t>
  </si>
  <si>
    <t>There should be a common locker on the floor. Bathroom and toilet smell of drain.</t>
  </si>
  <si>
    <t>Ecuador</t>
  </si>
  <si>
    <t>Unbeatable location</t>
  </si>
  <si>
    <t>The cleaning not so much</t>
  </si>
  <si>
    <t>Malaya</t>
  </si>
  <si>
    <t>Recommend to stay here! The hotel is close to Nyhamn, easy to find something to eat, nice staff.</t>
  </si>
  <si>
    <t>I had the problem about the light in my capsule. The toilet and bathroom quite small.</t>
  </si>
  <si>
    <t>Svetlana</t>
  </si>
  <si>
    <t>Great location, clean, warm room</t>
  </si>
  <si>
    <t>Alan</t>
  </si>
  <si>
    <t>Canada</t>
  </si>
  <si>
    <t>Darren</t>
  </si>
  <si>
    <t>Comment from Hotel Management: We are sorry to hear your stay wasn't pleasant. We do appreciate your feedback as this is how we improve our facilities for the future. Best regards - Mar</t>
  </si>
  <si>
    <t>Gordon</t>
  </si>
  <si>
    <t>Came to a construction site with rude workers, vomit in the common area, and urine smell in the toilets. The flush function was also broken. An extremely unpleasant stay!</t>
  </si>
  <si>
    <t>Comment from Hotel Management: We are very sorry to hear this time your stay was not as pleasant as previous times. We are actively working on making our hotel better and we appreciate your constructive review. We hope to see you again, Best wishes,</t>
  </si>
  <si>
    <t>Lee</t>
  </si>
  <si>
    <t>UK</t>
  </si>
  <si>
    <t>Great location and staff, especially the Romanian lady who was very helpful.</t>
  </si>
  <si>
    <t>Comment from Hotel Management: We are glad to hear you enjoyed our hotel and staff. Wish you the best,</t>
  </si>
  <si>
    <t>Moises</t>
  </si>
  <si>
    <t>Great location and staff are extremely pleasant and friendly.</t>
  </si>
  <si>
    <t>Comment from Hotel Management: We are very happy you enjoyed your stay with us! Best wishes,</t>
  </si>
  <si>
    <t>Enzo</t>
  </si>
  <si>
    <t>Comment from Hotel Management: We are glad you enjoyed your stay! Kind regards,</t>
  </si>
  <si>
    <t>Lance</t>
  </si>
  <si>
    <t>Comment from Hotel Management: Glad you enjoyed the stay! Nyhavn 63 Capsule Hotel</t>
  </si>
  <si>
    <t>Klaudia</t>
  </si>
  <si>
    <t>The first two showers were not working properly. The other toilet wasn’t working properly. Then I learnt the third shower is the most trustworthy.</t>
  </si>
  <si>
    <t>Comment from Hotel Management: We are sorry our facilities weren't working properly during your stay, we are looking into it. Thank you for the review, Best wishes,</t>
  </si>
  <si>
    <t>Great location hostel.</t>
  </si>
  <si>
    <t>Small bathroom and not cleaned.</t>
  </si>
  <si>
    <t>Comment from Hotel Management: We are sorry you didn't find our facilities to be clean enough, we will keep your comment in mind. Best wishes,</t>
  </si>
  <si>
    <t>Lisa</t>
  </si>
  <si>
    <t>None</t>
  </si>
  <si>
    <t>Joakim</t>
  </si>
  <si>
    <t>We are bicycle tourists, and there is no dedicated place to securely park the bicycles. We placed them in the courtyard, and it felt relatively safe. Everything else was superb.</t>
  </si>
  <si>
    <t>Oscar</t>
  </si>
  <si>
    <t>Nice place to stay in Copenhagen. Location was excellent and easy to get to.</t>
  </si>
  <si>
    <t>Access to secure storage would be ideal for future use.</t>
  </si>
  <si>
    <t>Hanan</t>
  </si>
  <si>
    <t>Really centric, friendly and helpful staff, comfortable bed. All in all good value for money if you're not carrying too many things with you.</t>
  </si>
  <si>
    <t>More details to find the place would've been nice.</t>
  </si>
  <si>
    <t>Marta</t>
  </si>
  <si>
    <t>Great location, good price, I recommend</t>
  </si>
  <si>
    <t>Jada</t>
  </si>
  <si>
    <t>Lovely place in a great location!</t>
  </si>
  <si>
    <t>Thanks</t>
  </si>
  <si>
    <t>Dolores</t>
  </si>
  <si>
    <t>Good!</t>
  </si>
  <si>
    <t>Please have a small fan, it can get really hot.</t>
  </si>
  <si>
    <t>Eliška Rozborová</t>
  </si>
  <si>
    <t>The location is beyond competition. Showers and toilets are clean. The room was quiet and everyone was respectful. Overall, it's worth it if you're traveling on a budget.</t>
  </si>
  <si>
    <t>The capsules were small. Would recommend bringing flip-flops.</t>
  </si>
  <si>
    <t>Lisa H</t>
  </si>
  <si>
    <t>This hostel is stealing your money. Not possible to contact the hostel through phone calls. The service is bad. The pictures are not representative. Got kicked out after asking for a refund. Paid for two nights but was not allowed to stay in the room.</t>
  </si>
  <si>
    <t>LastPrismAlex</t>
  </si>
  <si>
    <t>The location is amazing and the capsules are a cool concept.</t>
  </si>
  <si>
    <t>Impossible to sleep due to stuffy air and lack of ventilation. Bright buttons and hallway light make it hard to sleep. No soundproofing. No lockers for bags. Limited toilets. Toilets don’t flush properly. Mattress had a tiny stain. Some capsules are not clean. Some complaints of bed bugs.</t>
  </si>
  <si>
    <t>Very affordable for being right in the middle of Copenhagen. Wish I had paid more for a place with functional ventilation.</t>
  </si>
  <si>
    <t>M Kurt</t>
  </si>
  <si>
    <t>Bugs everywhere. Incredibly bad service. If you leave a bad review, they offer you money to delete it. Fraud.</t>
  </si>
  <si>
    <t>Bing Zhang</t>
  </si>
  <si>
    <t>Dirty, messy, few toilets, unsafe.</t>
  </si>
  <si>
    <t>Arash Akrami</t>
  </si>
  <si>
    <t>Quiet. Great value.</t>
  </si>
  <si>
    <t>From March to April</t>
  </si>
  <si>
    <t xml:space="preserve">Reviews mentioning dirty rooms have significantly increased. The cleaning situation needs serious attention! We should consider implementing more disciplined cleaning hours and faster notifications about rooms that need cleaning, as we have received many complaints about rooms not being ready. Additionally, providing more efficient cleaning equipment could help make this task faster. 
PS: Also, 11 of 17 deleted reviews by Anders are about cleanliness! So we need to take action!
The reception service has noticeably deteriorated, with guests more likely to complain about unhelpful staff. This could be due to changes in team members or the integration of new employees, which is normal. However, improvement in this area is essential to maintain a positive image of our team. Motivating and training the team is key to this improvement!
Housekeeping needs to pay more attention to toilet cleanliness, as there are increasing complaints about dirty toilets.
Guests frequently mention noise complaints, but this is expected due to the hostel's lively atmosphere.
There are no reviews about bed bugs , which is understandable since Nyhavn primarily offers capsule accommodations.
Although facilities and maintenance are slightly improving, they remain the top concern for guests. We should enhance the capsule facilities, bathrooms, and common areas. By Providing services such as slippers and hair dryers in the bathrooms, and ensuring all capsules are properly maintained (Some capsules cannot be locked or unlocked, and the lighting inside does not work perfectly).
PS : The facilities mentioned on our website are not all provided, which negatively impacts our image as guests often find discrepancies between what is listed and what is available.
</t>
  </si>
  <si>
    <t>Marc</t>
  </si>
  <si>
    <t>Excellent location, could not be more centric. Extremely quiet despite being so centric</t>
  </si>
  <si>
    <t>Reiner</t>
  </si>
  <si>
    <t>It's worth it. Exciting, unusual, very clean and central. Glad to come back!</t>
  </si>
  <si>
    <t>Translated from German. Detailed feedback: Check-in (5), Accuracy (5), Communication (5)</t>
  </si>
  <si>
    <t>Amy</t>
  </si>
  <si>
    <t>Amazing location, friendly staff, and nice clean room</t>
  </si>
  <si>
    <t>Would happily stay again.</t>
  </si>
  <si>
    <t>James</t>
  </si>
  <si>
    <t>The pod was very spacious as me and my partner and our big bags fit in the pod, and had all the amenities described.</t>
  </si>
  <si>
    <t>The location was right at the docks and was a tourist hotspot.</t>
  </si>
  <si>
    <t>Not bad at all for the price.</t>
  </si>
  <si>
    <t>Not enough loos at peak times, and the loos are tiny. Room entry code system not great - taking multiple attempts.</t>
  </si>
  <si>
    <t>Quiet place to stay</t>
  </si>
  <si>
    <t>Just a little noise</t>
  </si>
  <si>
    <t>Julie</t>
  </si>
  <si>
    <t>Inês</t>
  </si>
  <si>
    <t>Perfect location, good privacy and quiet</t>
  </si>
  <si>
    <t>Very dirty bathroom, capsule can get hot</t>
  </si>
  <si>
    <t>Antonia</t>
  </si>
  <si>
    <t>Great location, very clean, staff very nice and helpful</t>
  </si>
  <si>
    <t>Minor noise issues, late check-in could be problematic for some</t>
  </si>
  <si>
    <t>Elizabeth</t>
  </si>
  <si>
    <t>Good location, historical building, staff very friendly and helpful, rooms cosy</t>
  </si>
  <si>
    <t>Lack of in-room amenities, shared toilets/bathrooms too small, cash not accepted</t>
  </si>
  <si>
    <t>Dorien</t>
  </si>
  <si>
    <t>Super nice place for a few nights, attractive accommodation, comfortable capsule, great location</t>
  </si>
  <si>
    <t>Had to buy a towel, not told where the sanitary facilities were</t>
  </si>
  <si>
    <t>Aleksander</t>
  </si>
  <si>
    <t>Staff super friendly, capsule clean enough, plenty of outlets</t>
  </si>
  <si>
    <t>Outlets outdated, bathroom smells, inadequate ventilation in capsule</t>
  </si>
  <si>
    <t>Dion</t>
  </si>
  <si>
    <t>Jes</t>
  </si>
  <si>
    <t>Worst hotel experience, issues with sleeping boxes and ventilation, noisy, poor service, unclean</t>
  </si>
  <si>
    <t>Anja</t>
  </si>
  <si>
    <t>Kaan</t>
  </si>
  <si>
    <t>Pilar</t>
  </si>
  <si>
    <t>Great location, super comfortable capsule</t>
  </si>
  <si>
    <t>Very dirty bathroom, noise, heat inside capsule</t>
  </si>
  <si>
    <t>Recommendations for improvement in cleanliness</t>
  </si>
  <si>
    <t>Desiree</t>
  </si>
  <si>
    <t>Warm capsule</t>
  </si>
  <si>
    <t>Good price and place, greetings for the best receptionist and thank you for the great morning coffee!</t>
  </si>
  <si>
    <t>The capsule doesn’t dull the noise</t>
  </si>
  <si>
    <t>Teuz7</t>
  </si>
  <si>
    <t>Fantastic location and quiet hostel</t>
  </si>
  <si>
    <t>Bálint</t>
  </si>
  <si>
    <t>ΓΙΑΝΝΟΥΛΑΚΗ</t>
  </si>
  <si>
    <t>Only the location and the girl at the front desk was noble</t>
  </si>
  <si>
    <t>You close the capsule, you're hot. Turn on the fan doesn't fly Open the capsule door you get cold and hear all the noise of the century Sleep apparently no one Quiet don't the rest of the people make it absurd that there are signs It would be good to have a reminder during check-in because some people don't know how much they probably know how to keep quiet.</t>
  </si>
  <si>
    <t>Everything sucks in general. Too bad I had a good initial impression.</t>
  </si>
  <si>
    <t>Arnaud</t>
  </si>
  <si>
    <t>Choice for its location and not for its tranquility or amenities.</t>
  </si>
  <si>
    <t>The location was great, nice neighborhood, good atmosphere. The shared bathroom/toilet was dirty and disfunctional. Only 1 out of 2 toilets worked for about 20 people. Showers and sinks were often dirty. The dorm was very noisy at night.</t>
  </si>
  <si>
    <t>Paula</t>
  </si>
  <si>
    <t>Alvaro</t>
  </si>
  <si>
    <t>Silje</t>
  </si>
  <si>
    <t>Fantastic location, nice outdoor area.</t>
  </si>
  <si>
    <t>Incredibly narrow and small capsules. Too few toilets for the number of guests. Cluttered and unclear layout. For those wondering what the difference is between a single and a double capsule; in a double you get two pillows. Same size single and double capsule, only one duvet.</t>
  </si>
  <si>
    <t>Bed rating: 2.5</t>
  </si>
  <si>
    <t>Brigitte</t>
  </si>
  <si>
    <t>Excellent location, great place, when we arrived we realized we had many luggage to stay in a capsule so we upgraded to a room, and it was super comfortable</t>
  </si>
  <si>
    <t>Łukasz</t>
  </si>
  <si>
    <t>Highly recommend this hostel. Clean, nice staff.</t>
  </si>
  <si>
    <t>Capsules too small for two people and their luggage.</t>
  </si>
  <si>
    <t>Ivan</t>
  </si>
  <si>
    <t>Miroslaw</t>
  </si>
  <si>
    <t>Capsule hotel. Pleasant, quiet stay.</t>
  </si>
  <si>
    <t>Ayşenur</t>
  </si>
  <si>
    <t>Cheng-Chan</t>
  </si>
  <si>
    <t>Piero</t>
  </si>
  <si>
    <t>Peter</t>
  </si>
  <si>
    <t>Camp and staff</t>
  </si>
  <si>
    <t>False marketing with pictures, showing non-existent facilities.</t>
  </si>
  <si>
    <t>Liliia</t>
  </si>
  <si>
    <t>Yannick</t>
  </si>
  <si>
    <t>WiFi rating: 7.5</t>
  </si>
  <si>
    <t>Sigitas</t>
  </si>
  <si>
    <t>Ana Mafalda</t>
  </si>
  <si>
    <t>Location and friendliness of staff</t>
  </si>
  <si>
    <t>Needs another bathroom per floor, turn off/down the lights at night.</t>
  </si>
  <si>
    <t>Henrique</t>
  </si>
  <si>
    <t>Great location! Good value for money. Central, right on the Nyhavn.</t>
  </si>
  <si>
    <t>Toilet and shower too small. Cleanliness of bathrooms poor. Creaking doors.</t>
  </si>
  <si>
    <t>Walter</t>
  </si>
  <si>
    <t>Good location, great price</t>
  </si>
  <si>
    <t>Capsules too small, place feels like a fire trap</t>
  </si>
  <si>
    <t>Valentina</t>
  </si>
  <si>
    <t>The central location</t>
  </si>
  <si>
    <t>Iuliia</t>
  </si>
  <si>
    <t>Perfect - above and beyond. Clean and good location. Beds comfy.</t>
  </si>
  <si>
    <t>Crates to get up to the bed felt unsteady/uncomfortable.</t>
  </si>
  <si>
    <t>Elifnur</t>
  </si>
  <si>
    <t>Full price performance hostel. Clean and quiet, slept very well.</t>
  </si>
  <si>
    <t>Carolina</t>
  </si>
  <si>
    <t>Position</t>
  </si>
  <si>
    <t>Toilets location unclear, stuffy heat in capsule. Suitable for one night only.</t>
  </si>
  <si>
    <t>Pedersen</t>
  </si>
  <si>
    <t>Leonila</t>
  </si>
  <si>
    <t>Dara94</t>
  </si>
  <si>
    <t>The location is excellent. Easy and fast check-in.</t>
  </si>
  <si>
    <t>Tom</t>
  </si>
  <si>
    <t>Great location , great price!</t>
  </si>
  <si>
    <t>Capsules are quite squeaky we got woken up by people leaving in the middle of the night.</t>
  </si>
  <si>
    <t>Great stay, perfect location and comfy bed, staff were very lovely too!</t>
  </si>
  <si>
    <t>Anna Clara</t>
  </si>
  <si>
    <t>The bathroom for the single rooms was unavailable, meaning we had to use the one shared with the hostel. Too many people for only one toilet.</t>
  </si>
  <si>
    <t>The price should've been less considering this</t>
  </si>
  <si>
    <t>Antonella</t>
  </si>
  <si>
    <t>Everything was very good</t>
  </si>
  <si>
    <t>Jose Manuel</t>
  </si>
  <si>
    <t>Nurettin</t>
  </si>
  <si>
    <t>Murathan</t>
  </si>
  <si>
    <t>Nice Location, reasonable price</t>
  </si>
  <si>
    <t>Staff are not very helpful and slow, capsules are not soundproof</t>
  </si>
  <si>
    <t>McKenna</t>
  </si>
  <si>
    <t>Olivier</t>
  </si>
  <si>
    <t>The welcome and simplicity of the place. Location at the top.</t>
  </si>
  <si>
    <t>Bruillant. If you want to go out in full shape of this place.. forget.</t>
  </si>
  <si>
    <t>It would be nice to have a coffee in the morning and the pressure pumps working.</t>
  </si>
  <si>
    <t>Nadja</t>
  </si>
  <si>
    <t>Fantastic location in the middle of the action</t>
  </si>
  <si>
    <t>The room stank terrible - we ventilated constantly, unfortunately it did not help.</t>
  </si>
  <si>
    <t>Emelie</t>
  </si>
  <si>
    <t>Excellent, will be back</t>
  </si>
  <si>
    <t>Could have been a little better filled with paper towels</t>
  </si>
  <si>
    <t>Fantastic and special experience. Mix between camping feeling and luxury feeling.</t>
  </si>
  <si>
    <t>Michaela</t>
  </si>
  <si>
    <t>Katarina</t>
  </si>
  <si>
    <t>Sunny and nice in cozy Copenhagen</t>
  </si>
  <si>
    <t>Comfortable beds, perfect location. Missing breakfast at the hotel though.</t>
  </si>
  <si>
    <t>Kasia</t>
  </si>
  <si>
    <t>I recommend!</t>
  </si>
  <si>
    <t>Great location!</t>
  </si>
  <si>
    <t>Gabriel</t>
  </si>
  <si>
    <t>Brazil</t>
  </si>
  <si>
    <t>Amelia</t>
  </si>
  <si>
    <t>Great location, close to the centre</t>
  </si>
  <si>
    <t>The reception is difficult to find, the light in the capsule didn't work</t>
  </si>
  <si>
    <t>Stefanie Last</t>
  </si>
  <si>
    <t>Great location, all very friendly</t>
  </si>
  <si>
    <t>Unfortunately only 2 toilets for 22 double capsules</t>
  </si>
  <si>
    <t>Finland</t>
  </si>
  <si>
    <t>The location was the best. Our own room lovely, good bed.</t>
  </si>
  <si>
    <t>General sanitary facilities</t>
  </si>
  <si>
    <t>For the first time, we take a room with a private bathroom.</t>
  </si>
  <si>
    <t>Antenka</t>
  </si>
  <si>
    <t>Amazing place</t>
  </si>
  <si>
    <t>This was my first time in Capsule Hotel, and was great.</t>
  </si>
  <si>
    <t>Localisation the best. I really recommended. Bathroom was also fine big space inside.</t>
  </si>
  <si>
    <t>Aleksandra</t>
  </si>
  <si>
    <t>Fantastic and affordable place, outstanding location, and great staff.</t>
  </si>
  <si>
    <t>Some noise around midnight.</t>
  </si>
  <si>
    <t>Luca Giacomo</t>
  </si>
  <si>
    <t>Superb location close to main attractions and affordable restaurants. Helpful staff.</t>
  </si>
  <si>
    <t>Issues with capsule lights and fan noise.</t>
  </si>
  <si>
    <t>Rayene</t>
  </si>
  <si>
    <t>Phuc Hong</t>
  </si>
  <si>
    <t>MUSSO</t>
  </si>
  <si>
    <t>The hostel is located in a quiet, ideal location on Nyhavn harbor.</t>
  </si>
  <si>
    <t>Limited number of toilets and no common kitchen as expected.</t>
  </si>
  <si>
    <t>Kauis</t>
  </si>
  <si>
    <t>Andres</t>
  </si>
  <si>
    <t>Thank you Lorenzo</t>
  </si>
  <si>
    <t>Alexey Yuzvyak</t>
  </si>
  <si>
    <t>Boris</t>
  </si>
  <si>
    <t>Meier</t>
  </si>
  <si>
    <t>Luisa Valerie</t>
  </si>
  <si>
    <t>Floor</t>
  </si>
  <si>
    <t>The bathrooms were smelly</t>
  </si>
  <si>
    <t>Raimonds</t>
  </si>
  <si>
    <t>Great! Very comfortable cabin, free earplugs ensured a good night's sleep. Fantastic location with nearby seafood restaurants and ice cream shops.</t>
  </si>
  <si>
    <t>Salomé</t>
  </si>
  <si>
    <t>Seweryn</t>
  </si>
  <si>
    <t>Niels Jørgen Graabek</t>
  </si>
  <si>
    <t>Muradh</t>
  </si>
  <si>
    <t>Sri Lanka</t>
  </si>
  <si>
    <t>Great location, close to the Nyhavn area and the metro station. Some nice reception staff. Good WiFi in the reception area.</t>
  </si>
  <si>
    <t>Misleading room description, lack of cleanliness, insufficient facilities, shared and cramped toilet, and overpriced rates.</t>
  </si>
  <si>
    <t>Mariam</t>
  </si>
  <si>
    <t>Damien</t>
  </si>
  <si>
    <t>Karoliina</t>
  </si>
  <si>
    <t>Marcell Barnabás</t>
  </si>
  <si>
    <t>Great location in a nice old house.</t>
  </si>
  <si>
    <t>Bedding smelly, capsule not well ventilated, and blanket likely unclean.</t>
  </si>
  <si>
    <t>Karin</t>
  </si>
  <si>
    <t>Central location, very clean, capsule pleasant, can lock luggage during the day.</t>
  </si>
  <si>
    <t>Cramped bathroom with no hooks, makes it hard to manage washing things.</t>
  </si>
  <si>
    <t>Clean shared toilets.</t>
  </si>
  <si>
    <t>Refused to show non-shared room at reception, dim light in capsule, poor air conditioning, had to open door for air, which then required managing the capsule door frequently.</t>
  </si>
  <si>
    <t>Johann Carl</t>
  </si>
  <si>
    <t>The hostel was very pleasant and uncomplicated. Great location near attractions and neighborhoods.</t>
  </si>
  <si>
    <t>Eeva</t>
  </si>
  <si>
    <t>Close to the city center with many restaurants nearby.</t>
  </si>
  <si>
    <t>No secure storage for luggage.</t>
  </si>
  <si>
    <t>Manuela</t>
  </si>
  <si>
    <t>The capsules provide a private space and are located close to the main station and inner city.</t>
  </si>
  <si>
    <t>Small bathroom and could use some convenience features like a chair.</t>
  </si>
  <si>
    <t>Ale</t>
  </si>
  <si>
    <t>Friendly staff and perfect location, accessible from the airport by metro. Could store luggage before check-in.</t>
  </si>
  <si>
    <t>Bathrooms need improvement.</t>
  </si>
  <si>
    <t>Good location.</t>
  </si>
  <si>
    <t>Uncomfortable shower, no hooks, no soap for 1 day, no kitchen facilities, stuffy capsule with poor ventilation, and poor signage for entrance.</t>
  </si>
  <si>
    <t>Robin</t>
  </si>
  <si>
    <t>Beautiful location and helpful staff.</t>
  </si>
  <si>
    <t>Capsules were particularly tight and warm.</t>
  </si>
  <si>
    <t>Charlotte</t>
  </si>
  <si>
    <t>Vlatko</t>
  </si>
  <si>
    <t>Sylwia</t>
  </si>
  <si>
    <t>Ideal for a short stay in Copenhagen. Quiet location, good bedding, and clean bathrooms.</t>
  </si>
  <si>
    <t>Only 2 toilets and 3 showers, insufficient for the number of people.</t>
  </si>
  <si>
    <t>Moisés</t>
  </si>
  <si>
    <t>Capsule very uncomfortable. Fan/ventilation didn't work, nearly choked during the night.</t>
  </si>
  <si>
    <t>Ралица</t>
  </si>
  <si>
    <t>Good option for the price if you only need a place to sleep.</t>
  </si>
  <si>
    <t>Poor ventilation system in the capsule and shared bathroom cleanliness could be improved.</t>
  </si>
  <si>
    <t>Lucie</t>
  </si>
  <si>
    <t>Low cost, good location.</t>
  </si>
  <si>
    <t>No air conditioning, too hot in the room, corridor light remains on all night.</t>
  </si>
  <si>
    <t>Signe</t>
  </si>
  <si>
    <t>Alex DVB</t>
  </si>
  <si>
    <t>Top stay at Capsule Hotel. The location is really top. The hostel is clean and quiet. The staff is very nice and gives good advice.</t>
  </si>
  <si>
    <t>One or two extra toilets per floor would not have been too much. Too bad they don't serve breakfast.</t>
  </si>
  <si>
    <t>Nuri789</t>
  </si>
  <si>
    <t>Sevdelina</t>
  </si>
  <si>
    <t>Cheap, location</t>
  </si>
  <si>
    <t>U need to bring a lot of things</t>
  </si>
  <si>
    <t>It was interesting experience</t>
  </si>
  <si>
    <t>Great location, fantastic value for money! I will definitely use again</t>
  </si>
  <si>
    <t>ALIAKSANDR</t>
  </si>
  <si>
    <t>Edward</t>
  </si>
  <si>
    <t>I liked the privacy of the pod. I asked for a quiet location, and it was mostly quiet.</t>
  </si>
  <si>
    <t>Bathroom was a little far, but it was much quieter than being near the bathroom. Sometimes other pods were a little noisy. But much quieter than a dorm room</t>
  </si>
  <si>
    <t>Lars</t>
  </si>
  <si>
    <t>Some of the capsules are in the storage room, some of them smell very chemical. It stinks everywhere. For over 40 people there are only 2 toilets and 3 showers. Everything was very poorly ventilated.</t>
  </si>
  <si>
    <t>Never again</t>
  </si>
  <si>
    <t>Jacob</t>
  </si>
  <si>
    <t>The location at the top!</t>
  </si>
  <si>
    <t>Lukáš</t>
  </si>
  <si>
    <t>Romi</t>
  </si>
  <si>
    <t>Carita</t>
  </si>
  <si>
    <t>Great location in Copenhagen</t>
  </si>
  <si>
    <t>Bed was a little bit on the hard side. If you are sensitive to noise, this may not be the place for you.</t>
  </si>
  <si>
    <t>Great location!! Young backpackers exploring Copenhagen.</t>
  </si>
  <si>
    <t>Johanna Maria</t>
  </si>
  <si>
    <t>Everything was clean. Great space.</t>
  </si>
  <si>
    <t>No hair dryer. No towels.</t>
  </si>
  <si>
    <t>Irene</t>
  </si>
  <si>
    <t>The capsule had a great size. I slept comfortably.</t>
  </si>
  <si>
    <t>There wasn't a hairdryer and the staff wasn't clear about towels.</t>
  </si>
  <si>
    <t>Location is excellent.</t>
  </si>
  <si>
    <t>Tiny bedroom, only room for a bed and for door to open. No table, chair or even a clothes hook. Sleeping near impossible due to noise all night from heavy corridor doors slamming.</t>
  </si>
  <si>
    <t>Will never stay there again</t>
  </si>
  <si>
    <t>Rojas</t>
  </si>
  <si>
    <t>Bed door therefore closed a cabinet no thanks</t>
  </si>
  <si>
    <t>Serge</t>
  </si>
  <si>
    <t>Great location, very easy access on Nyhavn, very quiet.</t>
  </si>
  <si>
    <t>Very little room to store stuff, no lockers or wardrobe. But enough for 3 small nights.</t>
  </si>
  <si>
    <t>Molly</t>
  </si>
  <si>
    <t>Jana</t>
  </si>
  <si>
    <t>The staff was very personable and friendly. With questions always available and eager to find a solution. The location is very central and nicely located by many restaurants and the water.</t>
  </si>
  <si>
    <t>It was really very hot in the capsules and it was not possible to sleep with the capsule door closed. The bathrooms were not so clean and very cramped and small for so many residents. The fan of our capsule was broken so we had to move to a new capsule.</t>
  </si>
  <si>
    <t>You have to like being in a very narrow space with many people</t>
  </si>
  <si>
    <t>Lynette</t>
  </si>
  <si>
    <t>The location was good and staff friendly</t>
  </si>
  <si>
    <t>Floors in the toilet need to be cleaned. The grout in the shower was very dirty.</t>
  </si>
  <si>
    <t>Joanna</t>
  </si>
  <si>
    <t>Privacy, cleanliness, very good location, nice receptionist, bar.</t>
  </si>
  <si>
    <t>Stuffiness in the cabins, no luggage lockers.</t>
  </si>
  <si>
    <t>Patrick</t>
  </si>
  <si>
    <t>Loved the location.</t>
  </si>
  <si>
    <t>More facilities for changing and dressing.</t>
  </si>
  <si>
    <t>Jessie</t>
  </si>
  <si>
    <t>The noise.</t>
  </si>
  <si>
    <t>Nicole</t>
  </si>
  <si>
    <t>Laila</t>
  </si>
  <si>
    <t>Comfortable, nice location.</t>
  </si>
  <si>
    <t>Alexis</t>
  </si>
  <si>
    <t>Evelina</t>
  </si>
  <si>
    <t>Fahris</t>
  </si>
  <si>
    <t>Great location. Good prices.</t>
  </si>
  <si>
    <t>This place really needs better/more toilet facilities. And it was surprisingly cold in the dorm. Safety/security was fairly questionable as well, given that while the bar is open anyone can walk in off the street and enter the dorm (but not your pod, which is secured with a keycode). Capsules hotels are a great concept, but this venue hasn't executed it properly. However, if you don't mind the issues above, and like me want somewhere with good value and a great location, then it's fine.</t>
  </si>
  <si>
    <t>Downtown. Convenient for not using transportation.</t>
  </si>
  <si>
    <t>Water from taps only cold. Two very uncomfortable pushing taps (one clogged). No bidet. Only one towel available. TV in room not working. No wifi. Very bad.</t>
  </si>
  <si>
    <t>Sabrina</t>
  </si>
  <si>
    <t>Man Hong</t>
  </si>
  <si>
    <t>Macau</t>
  </si>
  <si>
    <t>Convenient location.</t>
  </si>
  <si>
    <t>No kitchen available.</t>
  </si>
  <si>
    <t>Juliette</t>
  </si>
  <si>
    <t>Very well located and very clean establishment, friendly staff and easy access (numeric code) no keys.</t>
  </si>
  <si>
    <t>It is very hot inside the capsule even though the room is air conditioned it was complicated for us to sleep well. The price is quite high for such a small private space.</t>
  </si>
  <si>
    <t>Mila</t>
  </si>
  <si>
    <t>Exceptional location.</t>
  </si>
  <si>
    <t>The number of toilets, sound insulation between capsules.</t>
  </si>
  <si>
    <t>Anna Laura</t>
  </si>
  <si>
    <t>Alexandros</t>
  </si>
  <si>
    <t>MITICHE</t>
  </si>
  <si>
    <t>It was horrible we couldn't sleep. No comfort, a lot of noise. I asked for a towel for my friend, they said you have to pay.</t>
  </si>
  <si>
    <t>Kristina</t>
  </si>
  <si>
    <t>Cheap place with good location.</t>
  </si>
  <si>
    <t>It was really unbearably hot and you couldn't do anything. Plus the service from the staff the day we arrived was not very good. Their site was down so he couldn't give us our room which can happen but it was presented flippantly and without very good service as if it was our problem.</t>
  </si>
  <si>
    <t>Cynthia</t>
  </si>
  <si>
    <t>We stayed fine in the twin room for one night, excellent location, excellent value for money as well.</t>
  </si>
  <si>
    <t>We liked everything.</t>
  </si>
  <si>
    <t>Room was double with dental services and shower outside. It was clean and well organized.</t>
  </si>
  <si>
    <t>Rea</t>
  </si>
  <si>
    <t>Bryan</t>
  </si>
  <si>
    <t>Philippines</t>
  </si>
  <si>
    <t>Jimi</t>
  </si>
  <si>
    <t>Very well situated and very central to Nyhavn.</t>
  </si>
  <si>
    <t>Arianna</t>
  </si>
  <si>
    <t>Central location.</t>
  </si>
  <si>
    <t>Dirty facility. The bathrooms were not clean in the morning or evening. I have stayed in other hostels but in terms of cleanliness this is the worst. The capsule literally smelled of dirty feet, it was stuffy and the ventilation system inside is practically useless, it does not vacuum anything and above all it is not possible to let it in during the night because it makes an unbearable noise. Also, until 2 am there was loud music coming from some nearby places echoing inside the capsule, for those who have trouble sleeping I strongly advise against it.</t>
  </si>
  <si>
    <t>Markus</t>
  </si>
  <si>
    <t>Nice room for nice price.</t>
  </si>
  <si>
    <t>Stayed one night in room (not capsule). Nice bed and the room was very clean. They have also a very nice lobby bar. Price was also very moderate. Hotel is very near the Nyhavn restaurant and bar area so at the weekends there will be some loud music and party noise. Free earplugs are available at the reception.</t>
  </si>
  <si>
    <t>Fanni</t>
  </si>
  <si>
    <t>The location was perfect.</t>
  </si>
  <si>
    <t>The capsule was incredibly hot, I booked a double bed capsule but it was barely enough for one person plus my stuff. There are no lockers and not enough toilets. The hygiene was not satisfying at all.</t>
  </si>
  <si>
    <t>Valentin</t>
  </si>
  <si>
    <t>Catalina</t>
  </si>
  <si>
    <t>Goltes</t>
  </si>
  <si>
    <t>The location was absolutely great. Staff at the reception very nice. Accommodation met expectations.</t>
  </si>
  <si>
    <t>The location was great, the accommodation completely sufficient for an overnight stay.</t>
  </si>
  <si>
    <t>Translated from Czech by - Show original</t>
  </si>
  <si>
    <t>The beds were very comfortable, despite the fact that there were quite a few people there at the same time, I never had to wait in line for the toilet or shower. Free earplugs at reception</t>
  </si>
  <si>
    <t>The showers were quite far from the capsule, in order to get to the showers you had to go past the reception, because there were people hanging around all the time. Despite the use of earplugs, it could be heard when people entered the room in the middle of the night. Since the capsules are one on top of the other, the tossing and turning of the person in the upper capsule is quite noticeable.</t>
  </si>
  <si>
    <t>Translated from Slovenian by - Show original</t>
  </si>
  <si>
    <t>Location was excellent. Quiet from all the loud noise around</t>
  </si>
  <si>
    <t>Staff could have been more welcoming</t>
  </si>
  <si>
    <t>Kelsey</t>
  </si>
  <si>
    <t>Price and location are great. The showers and toilets were clean and were thoroughly cleaned at least once.</t>
  </si>
  <si>
    <t>The ventilation in the capsules leaves much to be desired, at night it gets very hot and stuffy. There are no possibilities for cleaning. No lounges</t>
  </si>
  <si>
    <t>Translated from German - Show original</t>
  </si>
  <si>
    <t>Teodora</t>
  </si>
  <si>
    <t>Location is great. It is comfortable.</t>
  </si>
  <si>
    <t>If you close the door of capsule there is no fresh air inside (fan doesn't work good), and if you don't close the door there is light turned on all night. There are only 2 toilets for so many people and it should be cleaned more often.</t>
  </si>
  <si>
    <t>Anissa</t>
  </si>
  <si>
    <t>The location, the calm of the courtyard.</t>
  </si>
  <si>
    <t>I booked "a capsule in a 4 capsule room" but it's not a real room, it's a small corner in a larger room that actually has 12 capsules. There are not enough toilets and the toilets are not very clean.</t>
  </si>
  <si>
    <t>Translated from French - Show original</t>
  </si>
  <si>
    <t>Stefka</t>
  </si>
  <si>
    <t>Mike</t>
  </si>
  <si>
    <t>Jozef</t>
  </si>
  <si>
    <t>Slovakia</t>
  </si>
  <si>
    <t>Abir</t>
  </si>
  <si>
    <t>We have to queue to wash in the morning and evening... 1 bathroom for a pallier I think it's little. Very narrow room ++-TV screen broken</t>
  </si>
  <si>
    <t>Location of the hotel</t>
  </si>
  <si>
    <t>Tomas</t>
  </si>
  <si>
    <t>Aziz</t>
  </si>
  <si>
    <t>Sebastiano</t>
  </si>
  <si>
    <t>Great for what they charge! Amazing location. Good staff!</t>
  </si>
  <si>
    <t>Location and service</t>
  </si>
  <si>
    <t>Toilets</t>
  </si>
  <si>
    <t>Alessandra</t>
  </si>
  <si>
    <t>Strategic location.</t>
  </si>
  <si>
    <t>Chanatkan And Henrik</t>
  </si>
  <si>
    <t>Fantastic location and price</t>
  </si>
  <si>
    <t>Xiaoting</t>
  </si>
  <si>
    <t>Olga</t>
  </si>
  <si>
    <t>Kamila</t>
  </si>
  <si>
    <t>Lisanne</t>
  </si>
  <si>
    <t>Great location, very friendly staff. The sleeping capsule was surprisingly spacious and even reasonably comfortable.</t>
  </si>
  <si>
    <t>For one night maximum, unfortunately hardly slept. Booked was a room with four capsules. But it is a larger room with storage walls and a lot of capsules. Since they are extremely noisy, that makes a difference. Instead of a ladder I had to climb over turned drink boxes. When the lady below turned around, my capsule wobbled. Is that supposed to be? With ventilation okay, I thought first the other woman was disturbing the noise that this caused. But sleeping without ventilation really is not possible. Anyway, a mixed bathroom with two toilets and two sinks for so many guests is too little. I had my own towel with me and luckily also a power bank.</t>
  </si>
  <si>
    <t>Ilaria</t>
  </si>
  <si>
    <t>Macedonia</t>
  </si>
  <si>
    <t>Emline</t>
  </si>
  <si>
    <t>The capsules were very good. The location in the center is excellent, along the harbor.</t>
  </si>
  <si>
    <t>A test experience!</t>
  </si>
  <si>
    <t>Jerome</t>
  </si>
  <si>
    <t>Great location- The bunks are comfortable</t>
  </si>
  <si>
    <t>Lassche</t>
  </si>
  <si>
    <t>The location at nyhavn but that was also annoying.</t>
  </si>
  <si>
    <t>The hygiene, the room, a lot of noise. We were just overwhelmed in our room when that was supposed to be the opposite. The photos are completely misleading and this is really a tourist trap</t>
  </si>
  <si>
    <t>Alejandro</t>
  </si>
  <si>
    <t>The mattress was very comfortable</t>
  </si>
  <si>
    <t>WiFi does not work in the pods. Mobile signal neither. This is not a hostel with common areas or kitchen. Showers are on a different floor. It says 4 capsule room, but it was 12 capsules…</t>
  </si>
  <si>
    <t>Евгения</t>
  </si>
  <si>
    <t>Joseph</t>
  </si>
  <si>
    <t>Great location, right on the Nyhavn Strip. Great price for location, bed was clean and comfortable. Shared bathroom was fine.</t>
  </si>
  <si>
    <t>Ludovic</t>
  </si>
  <si>
    <t>The cabins were not ventilated due to a system failure. The staff assured us nothing could be done. We had to sleep 3 nights in an awful heat. The capsule is a real oven and we are only in May.</t>
  </si>
  <si>
    <t>Yuneibis</t>
  </si>
  <si>
    <t>The hotel is super well located. The service is very good.</t>
  </si>
  <si>
    <t>We had the capsule area that is not ready to receive guests, in our opinion. It was a bit messy and there is no shower in that part and it's time to get out, cross the reception and go up to the other area. This is not clarified in the ad.</t>
  </si>
  <si>
    <t>Cottignies</t>
  </si>
  <si>
    <t>Iwona</t>
  </si>
  <si>
    <t>All</t>
  </si>
  <si>
    <t>Everything was cool</t>
  </si>
  <si>
    <t>PieraW</t>
  </si>
  <si>
    <t>The capsule was very comfortable. The bathrooms upstairs in the hostel were clean. It was quiet.</t>
  </si>
  <si>
    <t>The whole room was 16-20. The toilets in the room were not clean and run down at all. Everyone could come in the room. Also people who had a drink in the front bar went to the toilet there.</t>
  </si>
  <si>
    <t>Elodie</t>
  </si>
  <si>
    <t>Luana</t>
  </si>
  <si>
    <t>Comfortable, decent facilities, amazing location</t>
  </si>
  <si>
    <t>Towel hire was quite expensive</t>
  </si>
  <si>
    <t>Carlos</t>
  </si>
  <si>
    <t>Gianluca</t>
  </si>
  <si>
    <t>Tereza</t>
  </si>
  <si>
    <t>Our stay in this accommodation really met our expectations. Room, bathroom were clean, location was perfect in historic part of the city not that far away from groceries, public transport or monuments. Really enjoyed it :)</t>
  </si>
  <si>
    <t>Everything was just fine:)</t>
  </si>
  <si>
    <t>Stevens</t>
  </si>
  <si>
    <t>Found hairs, fingernail clippings, and sugar in my capsule. Capsule was very hot and the fan button didn’t seem to work.</t>
  </si>
  <si>
    <t>Hayriye Yasemin</t>
  </si>
  <si>
    <t>Air circulation is terrible, the capsule has no air and it is very hot.</t>
  </si>
  <si>
    <t>Gabrielle</t>
  </si>
  <si>
    <t>It is dirty and very noisy and very small</t>
  </si>
  <si>
    <t>Ruslan</t>
  </si>
  <si>
    <t>Zeynep Dilan</t>
  </si>
  <si>
    <t>Lucía</t>
  </si>
  <si>
    <t>Ojasti</t>
  </si>
  <si>
    <t>The staff was really nice. My night was also really peaceful and the capsule resembled a tent inside. There was enough space for my stuff and me. Fortunately, I am a brave 50-year-old. A fun experience. The location was incredibly good.</t>
  </si>
  <si>
    <t>Jan</t>
  </si>
  <si>
    <t>Towels had to be rented. It was more than stuffy. Due to fire safety, it is not possible to air the first floor and there are more than 20 people being accommodated without ventilation. This is more than unpleasant. Also that the sockets in the restaurant area did not work, I found it difficult because I could only use the computer in AC operation and had to charge at the front desk. Chocolate plug sockets are only available in the capsules on the second floor. The capsules on the first floor only have USB A and USB C.</t>
  </si>
  <si>
    <t>NA YOUNG</t>
  </si>
  <si>
    <t>john</t>
  </si>
  <si>
    <t>egzon</t>
  </si>
  <si>
    <t>The location was great</t>
  </si>
  <si>
    <t>The furnishings but I knew before that</t>
  </si>
  <si>
    <t>Mallory</t>
  </si>
  <si>
    <t>Clean common areas. Good Location.</t>
  </si>
  <si>
    <t>Room not clean. Loud at all times and the floor shakes easily with any slight movement outside the room. Poor quality bedding.</t>
  </si>
  <si>
    <t>Not recommended</t>
  </si>
  <si>
    <t>Dawid</t>
  </si>
  <si>
    <t>Cuevas</t>
  </si>
  <si>
    <t>Amanda</t>
  </si>
  <si>
    <t>Colombia</t>
  </si>
  <si>
    <t>Not suitable for elderly people. We had to walk about 7 blocks through the streets in stone and with luggage, not comfortable at all. A toilet for approx 20 people and covered. It was very hot in the capsule, we could not sleep because it was very noisy, all the time people coming and going. We were almost not allowed to sleep there because they said we had not paid, we took more than half an hour to try through bank statements that we had paid. Very bad experience.</t>
  </si>
  <si>
    <t>I do not recommend it</t>
  </si>
  <si>
    <t>Sergio</t>
  </si>
  <si>
    <t>Nice patio for an evening drink. Nice atmosphere in the dorm/capsules. Quick service.</t>
  </si>
  <si>
    <t>Perfect</t>
  </si>
  <si>
    <t>Ali Demir</t>
  </si>
  <si>
    <t>Dinesh Kumar</t>
  </si>
  <si>
    <t>Room was good. Capsule concept is good. Staff was friendly. Room was clean.</t>
  </si>
  <si>
    <t>There was no bathing liquid in the toilets. Water didn't drain in the bathroom quickly. Was stagnating. There was no bath wash liquids placed in the bathroom.</t>
  </si>
  <si>
    <t>Good. Worth for money. A good capsule method for dormitory stay. Liked it.</t>
  </si>
  <si>
    <t>Gustynska</t>
  </si>
  <si>
    <t>Dane</t>
  </si>
  <si>
    <t>The host was very welcoming and had lots of great information to share with us.</t>
  </si>
  <si>
    <t>Interesting place to be, if it's for a short stay it's okay but longer I would not recommend because there is no place for.</t>
  </si>
  <si>
    <t>The toilets and showers</t>
  </si>
  <si>
    <t>The location is the best about this hostel.</t>
  </si>
  <si>
    <t>Wil</t>
  </si>
  <si>
    <t>Bernard</t>
  </si>
  <si>
    <t>Lived until 23:30-00:00 as hotel has a bar. Suggestion: put kettle and cups, glasses in the rooms.</t>
  </si>
  <si>
    <t>Teresa</t>
  </si>
  <si>
    <t>Nice accommodation, great location, highly recommended 😊 Beautiful half-timbered house, especially in the evening with lighting nice to look at.</t>
  </si>
  <si>
    <t>Access to the bathroom a bit complicated, especially when you return if you don't have a code for the door.</t>
  </si>
  <si>
    <t>Michal</t>
  </si>
  <si>
    <t>Tatyana</t>
  </si>
  <si>
    <t>Monamari</t>
  </si>
  <si>
    <t>Det er så hyggelige omgivelser 👏👏 Dejlig personale i receptionen👏👏</t>
  </si>
  <si>
    <t>Men værelserne lugtede ikke godt. Dørene havde strækker så der kommer lidt lys ind det meste af tiden. Tynde vægge så du hører alt som i alt. Fik sover et par timer. Øv øv</t>
  </si>
  <si>
    <t>Comment from Hotel Management May 6, 2024 by Mar: Dear Monamari, We are happy to hear you found our staff and environment to be pleasant! We will look into the smells and the light coming in the rooms. As for the thin walls, we now offer free earplugs at reception! :) Thank you for taking the time to write this review, we really appreciate it, Best regards, Nyhavn63 Capsule Hotel</t>
  </si>
  <si>
    <t>Philip</t>
  </si>
  <si>
    <t>Made a reservation at around 23 last night. Was told in an email not to bother contacting the hostel/hotel and just come check in. Took a taxi and showed up 20 minutes later. Closed door, no bell etc. Call the number, no answer. Write us an email. Luckily had a friend I could bother for a couch or I guess my options would have been really bad. Why and how can I book a hotel on this platform after the reception closes and it's impossible to check in? Refund?</t>
  </si>
  <si>
    <t>Comment from Hotel Management May 6, 2024 by Mar: Dear Philip, We are sorry to hear about this situation. Our establishment is open until 2 am so we are unsure what happened. We are looking into it, and once again, we apologize for the inconveniences caused. Keep in touch, Best regards, Nyhavn63 Capsule Hotel</t>
  </si>
  <si>
    <t>Stephanie</t>
  </si>
  <si>
    <t>Lovely location and cute building and kind staff</t>
  </si>
  <si>
    <t>Mattress was too big for bed, resulting in an uncomfortable angle where it went over the edge of the bed. You would roll into the middle of the bed and have to sleep at an incline on the side (tricky when sharing a bed). The staff did not correct it when we requested a mattress that fit the bed although they said they would. All four nights were miserable sleeping experiences. The bathroom had glass walls so everyone walking down the hall could look into the bathroom. Very uncomfortable. There was also only one toilet per hall resulting in wait times to use the restroom.</t>
  </si>
  <si>
    <t>Pernille</t>
  </si>
  <si>
    <t>Oskar</t>
  </si>
  <si>
    <t>Comment from Hotel Management (05/18/2024): Glad your stay was good, hope to see you again. Kind regards, Reception @ Nyhavn63 Capsule Hotel</t>
  </si>
  <si>
    <t>Christian</t>
  </si>
  <si>
    <t>Very centrally located in the heart of Copenhagen.</t>
  </si>
  <si>
    <t>Comment from Hotel Management (05/20/2024): Glad you enjoyed our location! Best wishes, Reception @ Nyhavn63 Capsule Hotel</t>
  </si>
  <si>
    <t>Eduardo</t>
  </si>
  <si>
    <t>Nice hip place to stay in and cozy</t>
  </si>
  <si>
    <t>Comment from management on 05/26/2024: "Dear Eduardo, we are glad you enjoyed your stay and we hope to see you again. Kind regards, Reception"</t>
  </si>
  <si>
    <t>Hello Arnaud,Thank you for your review. We hope you enjoyed your stay with us and to see you again soon.</t>
  </si>
  <si>
    <t>Mathias</t>
  </si>
  <si>
    <t>Samuele</t>
  </si>
  <si>
    <t>You are on the most beautiful street in Copenhagen</t>
  </si>
  <si>
    <t>Thank you for your review, Samuele. We hope to see you soon</t>
  </si>
  <si>
    <t>Neo_Seeker96 (Neo_Seeker96)</t>
  </si>
  <si>
    <t>Luggage stolen from storage room, non-functional cameras, unhelpful staff, cramped conditions in bunk rooms, rock solid beds, only fans no AC, filthy bathroom, advises to bring own flip flops if staying</t>
  </si>
  <si>
    <t>Holiday ruined</t>
  </si>
  <si>
    <t>Daniel Tserovski</t>
  </si>
  <si>
    <t>Cozy historic building, kind and responsive staff, cozy rooms</t>
  </si>
  <si>
    <t>Lack of amenities in the room (no refrigerator and second chair), few shared toilets/bathrooms, no cash accepted</t>
  </si>
  <si>
    <t>Worth staying despite the cons</t>
  </si>
  <si>
    <t>Yuliana Antonela Ferrua</t>
  </si>
  <si>
    <t>Hotel highlights: Luxury, Great view, Romantic, Quiet, Kid-friendly, Great value, High-tech. Rooms great, Safety good</t>
  </si>
  <si>
    <t>Luggage storage unsafe, poor service in locating stolen backpack, cramped bunk rooms, rock solid beds, no AC, filthy bathroom</t>
  </si>
  <si>
    <t>Bring own flip flops for bathroom, holiday ruined</t>
  </si>
  <si>
    <t>Cozy historic building, charming location at Nyhavn, kind and responsive staff, cozy rooms</t>
  </si>
  <si>
    <t>Lack of amenities in room (no refrigerator, only one chair), too few shared toilets/bathrooms resulting in waiting, does not accept cash</t>
  </si>
  <si>
    <t>Luxury, great view, romantic, quiet, kid-friendly, great value, high-tech, great rooms, good safety</t>
  </si>
  <si>
    <t>Raj Dfabro</t>
  </si>
  <si>
    <t>Friendly staff, good location</t>
  </si>
  <si>
    <t>Very small pod, no ventilation, not safe for belongings, overall a nightmare experience</t>
  </si>
  <si>
    <t>We really enjoyed our stay at the capsule hotel. The location is beyond competition. The room was actually really quiet.</t>
  </si>
  <si>
    <t>The capsules were small. Bring some flipflops.</t>
  </si>
  <si>
    <t>Rooms4.0, Service5.0, Location5.0. Holiday, Friends. Great value.</t>
  </si>
  <si>
    <t>Fabian Nolz</t>
  </si>
  <si>
    <t>Very good staff and best location.</t>
  </si>
  <si>
    <t>Noisy ventilation, heating up without cooling, unclean bathrooms, toilets without ventilation, no gender splitting so expect staring eyes. No noise and light protection from corridor and other pods. Substandard quality, overpriced capsules.</t>
  </si>
  <si>
    <t>If you are explorative and want to try overpriced capsules give it a shot, but I have to say that the quality offered was pretty bad. One night, okay, but don't stay in an overpriced substandard cardboard box for more than what you really have to. Yes, Copenhagen is expensive but this is ridiculously loveless.</t>
  </si>
  <si>
    <t>Eddie S</t>
  </si>
  <si>
    <t>Ludo</t>
  </si>
  <si>
    <t>The capsule fan isn’t working, turning it into a real oven. Could not sleep due to the heat inside. Entry and access to the room are not secured.</t>
  </si>
  <si>
    <t>We informed the staff, but they could do nothing as the whole hostel had the same issue. Anyone can access your capsule. Avoid at all cost.</t>
  </si>
  <si>
    <t>David Romero</t>
  </si>
  <si>
    <t>Impossible to sleep, very stuffy/hot in the middle of the night, poor quality bedding, room shakes when anyone walks past/closes a hallway door</t>
  </si>
  <si>
    <t>Would not recommend even for the price.</t>
  </si>
  <si>
    <t>MAX ETIENNE</t>
  </si>
  <si>
    <t>The room was unfortunately very dirty and even smelled bad after hours of ventilation.</t>
  </si>
  <si>
    <t>Value For Money 2, Security 4, Location 10, Staff 6, Atmosphere 2, Cleanliness 2, Facilities 2</t>
  </si>
  <si>
    <t>Lindsay</t>
  </si>
  <si>
    <t>Beautiful location and lots of walking trails and people watching friendly staff. We had a private room with shared bathroom.</t>
  </si>
  <si>
    <t>Walls are paper thin and extremely noisy even though it’s a quiet zone. The capsules must be hot because the people slept with the doors open.</t>
  </si>
  <si>
    <t>Mani</t>
  </si>
  <si>
    <t>Cool spot and nice staff!</t>
  </si>
  <si>
    <t>Capsule rooms get very hot at night (in the larger dorm they don’t have AC) everyone has to sleep with the door open for airflow</t>
  </si>
  <si>
    <t>Value For Money: 8, Security: 10, Atmosphere: 8</t>
  </si>
  <si>
    <t>I had a good stay here! The location is perfect, the privacy of the pods was great, and it was a reasonable price.</t>
  </si>
  <si>
    <t>The facilities were a bit underwhelming - it didn't seem like there were enough toilets, and there was no kitchen or laundry or anything. I also thought the complaints about security were warranted.</t>
  </si>
  <si>
    <t>As long as you're careful not to leave things in the open it felt safe. I would stay here again! Value For Money: 8, Security: 6, Location: 10, Staff: 10, Atmosphere: 8, Cleanliness: 8, Facilities: 6</t>
  </si>
  <si>
    <t>Jovana</t>
  </si>
  <si>
    <t>Affordable, fun experience sleeping in a capsule. Great location!</t>
  </si>
  <si>
    <t>Dirty capsule with blood and other things on the mattress. Very hot in the capsule, impossible to sleep. Receptionist's suggestion was to sleep with the door open. Glad it was only one night as couldn't sleep properly.</t>
  </si>
  <si>
    <t>Nice experience but not again.</t>
  </si>
  <si>
    <t>Moa</t>
  </si>
  <si>
    <t>Perfect location, good price, nice atmosphere.</t>
  </si>
  <si>
    <t>Very hot in the capsule, needs better ventilation.</t>
  </si>
  <si>
    <t>Σ of negative reviews</t>
  </si>
  <si>
    <t>Percentage of negative review</t>
  </si>
  <si>
    <t>Percentage of negative review amoug all reviews</t>
  </si>
  <si>
    <t>% of negative review among total reviews</t>
  </si>
  <si>
    <t>Occurence</t>
  </si>
  <si>
    <t>AIRBNB_05/02/2024</t>
  </si>
  <si>
    <t>AIRBNB_05/01/2024</t>
  </si>
  <si>
    <t>AIRBNB_05/21/2024</t>
  </si>
  <si>
    <t>AIRBNB_05/22/2024</t>
  </si>
  <si>
    <t>AIRBNB_05/27/2024</t>
  </si>
  <si>
    <t>From April to May</t>
  </si>
  <si>
    <t>Pasha</t>
  </si>
  <si>
    <t>Loved the place</t>
  </si>
  <si>
    <t>Definitely value for money - insanely central location, decent but simple room, friendly and cozy atmosphere. All in all very much recommended :)</t>
  </si>
  <si>
    <t>Double Room with Shared Bathroom. Check-in: 5, Easy to find, Flexible check-in, Accuracy: 5, Looked like the photos, Matched the description, Had listed amenities &amp; services, Communication: 5.</t>
  </si>
  <si>
    <t>Geraldine</t>
  </si>
  <si>
    <t>Friendly, Beautiful surroundings, Walkable</t>
  </si>
  <si>
    <t>Stains, Needs maintenance</t>
  </si>
  <si>
    <t>It was fine</t>
  </si>
  <si>
    <t>Everything was great. The noise at the front desk was quite cute and affectionate:)</t>
  </si>
  <si>
    <t>Translated from Czech. Show original.</t>
  </si>
  <si>
    <t>Patrycja</t>
  </si>
  <si>
    <t>Recommended! We checked in after midnight, the host was helpful. The first impression was a little shocking, but we really enjoyed our entire stay. The sleeping area, the capsule, was very cool and clean. If you're looking for a place to wash and sleep, we highly recommend it!</t>
  </si>
  <si>
    <t>The only drawbacks are the weak internet and a little run down bathrooms.</t>
  </si>
  <si>
    <t>In capsule 115-N, when you charge the phone there is a short circuit in the bulbs and the light works poorly.</t>
  </si>
  <si>
    <t>Elias</t>
  </si>
  <si>
    <t>Location is great</t>
  </si>
  <si>
    <t>The plumbing was a little dirty. Too few toilets for so many capsules.</t>
  </si>
  <si>
    <t>I found it a bit unfortunate that the toilets were not clean. Dirty or dusty, noticeable smell, dirty bathroom.</t>
  </si>
  <si>
    <t>Camilla</t>
  </si>
  <si>
    <t>Delightful stay</t>
  </si>
  <si>
    <t>Flexible check-in, Free of clutter</t>
  </si>
  <si>
    <t>Gözde</t>
  </si>
  <si>
    <t>The location was amazing. We stayed at the capsule hotel for the first time and were satisfied. The bed was clean and the staff was caring.</t>
  </si>
  <si>
    <t>All good</t>
  </si>
  <si>
    <t>but the ventilation didn't work😕</t>
  </si>
  <si>
    <t>Alexandra</t>
  </si>
  <si>
    <t>Liked the location &amp; the pillows were comfy.</t>
  </si>
  <si>
    <t>Bathrooms were disgusting. The pod is not designed for hot days. Couldn't close the pod door due to heat. Fan/air con in pods need updating. Lights flickered/didn't work with more than one phone charging. Bright exit and fan lights. Staff were nice but not super welcoming.</t>
  </si>
  <si>
    <t>Emil</t>
  </si>
  <si>
    <t>Fatemeh</t>
  </si>
  <si>
    <t>Elena</t>
  </si>
  <si>
    <t>Private room is very nice, clean, with a comfortable bed and en-suite bathroom. Central location, could reach everything on foot. Excellent value for money considering high prices in Copenhagen.</t>
  </si>
  <si>
    <t>Judith</t>
  </si>
  <si>
    <t>Linda</t>
  </si>
  <si>
    <t>Three showers and sinks plus two toilets for over 30 people! The sewerage smelt, no air conditioning, only a small extractor fan. People who wear blankets and pillows place them on the floor when changing the bed linen and then dress them for subsequent stays. Overall, I don't recommend it.</t>
  </si>
  <si>
    <t>Zoran</t>
  </si>
  <si>
    <t>Great location in the heart of Copenhagen. Reasonable price for the center of Copenhagen.</t>
  </si>
  <si>
    <t>Only 2 bathrooms and showers for 20+ to 40+ people. Bathrooms smelled bad and were tiny. Quite a bit of noise from the amount of people in an open floor, but they provide free ear plugs. Capsules get hot, and the fan doesn't help much. Lights in the capsule flicker or turn off if anything is plugged in.</t>
  </si>
  <si>
    <t>Only choose this if you're on a super tight budget or have no plan to stay there much.</t>
  </si>
  <si>
    <t>Halil</t>
  </si>
  <si>
    <t>Kristoffer</t>
  </si>
  <si>
    <t>Comfortable accommodation close to the city. Own space similar to a hostel but with a closable cube. Cube had a socket outlet, small fan, and good light.</t>
  </si>
  <si>
    <t>One toilet that was full of paper.</t>
  </si>
  <si>
    <t>Claudia</t>
  </si>
  <si>
    <t>Very hot cabin.</t>
  </si>
  <si>
    <t>Good for one night.</t>
  </si>
  <si>
    <t>Beatriz</t>
  </si>
  <si>
    <t>The location was perfect, right on the Nyhav (boat port/canal). We were super well received and felt quickly at home. There were 2 Portuguese working at this Hostel, super helpful and friendly, who gave us tips about events happening in CPH during our stay and we ended up changing our itinerary and it was super worth it! I recommend it! 10/10!</t>
  </si>
  <si>
    <t>Translated from Portuguese - Show original</t>
  </si>
  <si>
    <t>Laurence</t>
  </si>
  <si>
    <t>Location more than perfect! Very comfortable capsule.</t>
  </si>
  <si>
    <t>Smell of humidity constant - no bath towels included and no hooks in showers.</t>
  </si>
  <si>
    <t>Georgi</t>
  </si>
  <si>
    <t>Vitalina</t>
  </si>
  <si>
    <t>Abdualiyeva</t>
  </si>
  <si>
    <t>Asger</t>
  </si>
  <si>
    <t>Paul</t>
  </si>
  <si>
    <t>Barbara</t>
  </si>
  <si>
    <t>Location.</t>
  </si>
  <si>
    <t>Noise not related to the location, small number of toilets.</t>
  </si>
  <si>
    <t>A wonderful city experienced from the very center.</t>
  </si>
  <si>
    <t>P</t>
  </si>
  <si>
    <t>No kitchen, no common space, about 100° in the capsules, you can't stand it, you have to sleep with the doors open, no privacy, 3 showers and 2 toilets for 40/50 people, a scandal.</t>
  </si>
  <si>
    <t>Emma</t>
  </si>
  <si>
    <t>Fantastic location, clean facilities, kind and helpful staff, and a cozy bar.</t>
  </si>
  <si>
    <t>The capsules got really hot during the night. But we felt safe enough to keep them open while we slept.</t>
  </si>
  <si>
    <t>Will definitely go back!</t>
  </si>
  <si>
    <t>Jessica</t>
  </si>
  <si>
    <t>Excellent location, the bed was comfortable and it had a lovely outdoor patio to hang out in.</t>
  </si>
  <si>
    <t>The room was quite hot and stuffy.</t>
  </si>
  <si>
    <t>Liubov</t>
  </si>
  <si>
    <t>A normal hotel for its money, and for a short stay. The hotel has a good location, all the sights of the city are located nearby, you can walk. The capsule itself is not bad, but adding a couple of shelves for convenience would be good.</t>
  </si>
  <si>
    <t>It's dirty, but considering the large number of residents, it's normal.</t>
  </si>
  <si>
    <t>The toilet and bathroom are not very comfortable, but since we were staying for one night, it's okay. Translated from Ukrainian by - Show original. Bed rating: 7.5.</t>
  </si>
  <si>
    <t>Nadim</t>
  </si>
  <si>
    <t>PokUnited States</t>
  </si>
  <si>
    <t>The location and the reception space were lovely</t>
  </si>
  <si>
    <t>It was extremely noisy, we booked a 4-capsule room to have some more peace but because of the amount of people and temperature all the windows had to be open at all times so everything from the 18-capsule room was heard the whole day. The capsules were both soundproof at all. They had no air, so you had to use the ventilation, which was extremely loud and overall poor quality.</t>
  </si>
  <si>
    <t>There was no space to leave your things safely, so you had to sleep with all your things in the capsule. There are 4 showers for 22 capsules on this floor. Its fine if you are partying with friends and dont really care but for 2 people tired and sick it was pretty rough. So I would say a great place for a trip with your friends, amazing location, just not much comfort and definately not for 700dkk per night.</t>
  </si>
  <si>
    <t>Giuseppe</t>
  </si>
  <si>
    <t>Diletta</t>
  </si>
  <si>
    <t>New, clean, and super comfortable and practical environment in a strategic location. Full of young people from all over the world, all very polite and quiet.</t>
  </si>
  <si>
    <t>At night it was really too hot and we had to keep the door slightly open to let some air circulate.</t>
  </si>
  <si>
    <t>Vladimir</t>
  </si>
  <si>
    <t>Scarlaty Isabel</t>
  </si>
  <si>
    <t>Olivia</t>
  </si>
  <si>
    <t>Friendly staff, great location with lots to do nearby, small but comfortable private rooms - great value for money</t>
  </si>
  <si>
    <t>Lovely place to stay</t>
  </si>
  <si>
    <t>Gwen</t>
  </si>
  <si>
    <t>Almost everything. Don't know where to start. The capsule was very small and there are no lockers so you sleep with your luggage. There's no fresh air in the capsule and it's burning hot. In addition, you share 2 toilets with about 30 people, which is incredibly unsanitary.</t>
  </si>
  <si>
    <t>At the cost of everything missing! The location and friendly staff. For the rest, nothing! Translated from Dutch - Show original</t>
  </si>
  <si>
    <t>Raul</t>
  </si>
  <si>
    <t>Great location in the center of the city with an affordable price. Comfy bed and ventilated capsule with keypad access lock.</t>
  </si>
  <si>
    <t>Slow WiFi, busy shared bathroom without much space</t>
  </si>
  <si>
    <t>Capsule for a quick visit of Copenhagen. Dear Raul, Thank you for your review! We are glad to hear you had a nice stay overall, and will take a look at your concerns regarding the wifi. Best wishes, Nyhavn63 Capsule Hotel Staff.</t>
  </si>
  <si>
    <t>Norbert</t>
  </si>
  <si>
    <t>Piotr</t>
  </si>
  <si>
    <t>Rugilė</t>
  </si>
  <si>
    <t>Perfect location!</t>
  </si>
  <si>
    <t>Bathrooms are just too small. You have to use super power to get into the toilet room, to be honest you have to climb to close the bathroom door, haha. Also, there is no air inside the capsule, so we had to sleep with the door quite open.</t>
  </si>
  <si>
    <t>For a couple of days it is a perfect place to stay.</t>
  </si>
  <si>
    <t>Duygu</t>
  </si>
  <si>
    <t>The hostel was in itself great. Very good location and comfortable capsule. Very nice staff.</t>
  </si>
  <si>
    <t>Right above me in the capsule a strong man slept, who at 3 o'clock in the morning only came to the hostel and made my whole capsule tremble. It felt like it wasn't enough, he was screaming drunk so I woke up several times.</t>
  </si>
  <si>
    <t>S M Samiur</t>
  </si>
  <si>
    <t>Overall I am satisfied!! Obviously the location was in great and the behaviour of the staffs were also good!!</t>
  </si>
  <si>
    <t>The washrooms should be more clean!!</t>
  </si>
  <si>
    <t>Kristian</t>
  </si>
  <si>
    <t>Additional categories: Bed rating 5</t>
  </si>
  <si>
    <t>Noor</t>
  </si>
  <si>
    <t>Additional categories: Bed rating 2.5</t>
  </si>
  <si>
    <t>Frederike</t>
  </si>
  <si>
    <t>Everything uncomplicated, nice reception, everything was clean and worked.</t>
  </si>
  <si>
    <t>The location is perfect! The premises are well maintained and the staff is very pleasant.</t>
  </si>
  <si>
    <t>It's a shame that bath towels are not included in the capsule price but you can buy them on site.</t>
  </si>
  <si>
    <t>Iryna</t>
  </si>
  <si>
    <t>Additional categories: Bed rating 5, Service: one pillow for two people</t>
  </si>
  <si>
    <t>Jcarliho</t>
  </si>
  <si>
    <t>You have to understand that it is a capsule room and it is not a room, but everything was fine and very clean .... it met my expectations. In the center and about 5 minutes from the train. The guys at the reception were very attentive and they spoke Spanish</t>
  </si>
  <si>
    <t>Translated from Spanish - Show original</t>
  </si>
  <si>
    <t>Extremely hot and stuffy.</t>
  </si>
  <si>
    <t>Translated from Croatian - Show original</t>
  </si>
  <si>
    <t>Nardi</t>
  </si>
  <si>
    <t>Very central location, courteous staff with e-mail clarification needs in advance</t>
  </si>
  <si>
    <t>Disastable overnight stay. You can have different opinions about the capsule model. we wanted to try it, no need for repetition, especially because of only conditionally suitable ventilation; the two nights could only be survived with the door rail open. But that's a matter of taste and not the real problem! We had chosen a room with (only) four capsules and shared bathroom. It is assumed that for four to eight people, depending on occupancy, a shared bathroom or shower and toilet facility is available. For a potential maximum occupancy of something between 40 and 50 people, a single room with 3 showers and 2 toilets is available! You feel deceived to make this clear carefully and factually. How a regulator in the middle of Europe and the otherwise so clean Denmark let such a hygienic disaster pass is a big mystery to us. For the people behind this extremely questionable overnight model, therefore, a very profitable business is open door and door; They are definitely not "guest donors". Summa humming: Never again!</t>
  </si>
  <si>
    <t>AFA</t>
  </si>
  <si>
    <t>Comfortable and Essential, very basic... Convenient location in Nyhavn and close to the city center. A good base for exploring the city. Cleanliness of the spaces.</t>
  </si>
  <si>
    <t>Undersized shared toilet. Noisy! Little privacy between the rooms, etc. Competitive price in the city, but high compared to the services offered.</t>
  </si>
  <si>
    <t>Eliza-Cora</t>
  </si>
  <si>
    <t>Marketa</t>
  </si>
  <si>
    <t>Dirt, broken equipment, poor hygiene</t>
  </si>
  <si>
    <t>Abdimanapov</t>
  </si>
  <si>
    <t>Tímea</t>
  </si>
  <si>
    <t>Next time I go to Copenhagen, I will definitely stay here. I spent 3 nights in the hostel. I was completely satisfied with the cleanliness, the capsule was spacious, the wi-fi signal was perfect, the sockets worked. Although I think the room was almost full, I never had to wait for the shower or the toilet.</t>
  </si>
  <si>
    <t>There was no such.</t>
  </si>
  <si>
    <t>For example, it would be useful to install a towel holder or a plain hanger. :) The temperature in the capsule was good, the air conditioning in the room was constantly running, so if I left the capsule door open, the air changed quickly. I didn't use the internal ventilation very much. I could hear the "neighbors", but it wasn't disturbing to me, I had my private sphere and peace in the capsule. The hostel is absolutely good value for money. I can absolutely recommend the place.</t>
  </si>
  <si>
    <t>Nadja08</t>
  </si>
  <si>
    <t>WiFi: 10, Bed rating: 10, Room view: 2.5</t>
  </si>
  <si>
    <t>Natalia</t>
  </si>
  <si>
    <t>Giu_68</t>
  </si>
  <si>
    <t>WiFi: 10, Bed rating: 5, Room view: 7.5</t>
  </si>
  <si>
    <t>Very good location, capsules are very spacious.</t>
  </si>
  <si>
    <t>WiFi, at least for me, was absolutely terrible, it was constantly disconnecting.</t>
  </si>
  <si>
    <t>Emily</t>
  </si>
  <si>
    <t>Clean and does the job for a short trip. Location was great, room was very clean and showers were also clean. Had free wifi and towels and a tv in the room.</t>
  </si>
  <si>
    <t>Only one toilet stall for 5-6 rooms. Would have been better to have at least a sink in the room. Luggage storage at reception also feels unsafe - no locks or any means of identifying you or your luggage. Walls are also quite thin so bring earplugs!</t>
  </si>
  <si>
    <t>Cozy and practical!</t>
  </si>
  <si>
    <t>Everything was perfect except for that the capsules get so warm at night.</t>
  </si>
  <si>
    <t>Ragnar S. Gregorson</t>
  </si>
  <si>
    <t>Linh Chi</t>
  </si>
  <si>
    <t>Translated from Norwegian by - Show original: Good location, nice place</t>
  </si>
  <si>
    <t>TERRIBLE, NEVER AGAIN, STAY AWAY. Checked out after 1 night. Poor ventilation, broken door, NO AC, VERY HOT, LOUNGE DOORS right next to exit, NOISED every time people went in and out. Couldn't sleep because of the heat. No space to lock the luggage so we had to keep it inside the capsule which was already cramped.</t>
  </si>
  <si>
    <t>Marina</t>
  </si>
  <si>
    <t>Israel</t>
  </si>
  <si>
    <t>Translated from Italian - Show original: The property is in a beautiful area of Copenhagen</t>
  </si>
  <si>
    <t>Unreliable facility. Front desk staff deserves zero as a Vote. We booked 2 beds, when we arrived at the property they said that for overbooking there are no places available without apologizing and without acknowledging the refund for the inconvenience. First of all, we received no communication from Booking. Contacted booking as usual no help, we had to look for another facility.</t>
  </si>
  <si>
    <t>Kathryn</t>
  </si>
  <si>
    <t>Danielle</t>
  </si>
  <si>
    <t>USA</t>
  </si>
  <si>
    <t>Good concept, but there’s way better places to stay for around the same price. Location was great. Capsules were clean for the most part. Great concept but needs a lot of improvements.</t>
  </si>
  <si>
    <t>No AC in the capsules??? Once you closed the door you were in a stuffy box, and if it was hot that day it’s going to be hot in that capsule. So uncomfortable. Only one light worked in my capsule so I had to use my phone light constantly. Walls are thin so you can hear every noise and sound. Bathrooms were ok but too small for the amount of people in this place, 3 sinks and 2 toilets for possibly 30-40 people?? No outlets in the bathroom either, just hairdryers.</t>
  </si>
  <si>
    <t>Sandrine</t>
  </si>
  <si>
    <t>Amar</t>
  </si>
  <si>
    <t>Bartłomiej</t>
  </si>
  <si>
    <t>Problems with entering the code into the machine, uncomfortable stuffiness - a tragedy, I do not recommend it.</t>
  </si>
  <si>
    <t>Mierzwińska</t>
  </si>
  <si>
    <t>A new experience, a good idea for a short stay.</t>
  </si>
  <si>
    <t>It was very stuffy in the capsule after closing.</t>
  </si>
  <si>
    <t>The place was far from the station, We had to carry big bags on stone pavement streets, it was hot.</t>
  </si>
  <si>
    <t>Dominika</t>
  </si>
  <si>
    <t>Location, cleanliness, nice staff, privacy</t>
  </si>
  <si>
    <t>Patricia</t>
  </si>
  <si>
    <t>Sarah</t>
  </si>
  <si>
    <t>No possibility to store luggage, extremely warm capsule, noisy, tight toilet compartments</t>
  </si>
  <si>
    <t>Capsule was extremely warm, air conditioning inside was too little to compensate for heat.</t>
  </si>
  <si>
    <t>Fantastic location, good value, facilities basic</t>
  </si>
  <si>
    <t>Smokers congregated below my bedroom window and smoke often drifting into room was unpleasant.</t>
  </si>
  <si>
    <t>It is very well located next door with a beautiful view</t>
  </si>
  <si>
    <t>The capsules are very hot</t>
  </si>
  <si>
    <t>Maria Florencia</t>
  </si>
  <si>
    <t>The Italian guy working there in the mornings was super nice to us. He gave us some advices for discovering the city!</t>
  </si>
  <si>
    <t>The location is excellent but the hostel as such is super dirty and completely overpriced. They where only having one shared bathroom and I spent two nights there and was completely dirty, lacking of toilet paper and tissues. The toilet was smelling so bad and the showers where super dirty. With regards to the room, the capsule didn't have space at all so I had to sleep with all my luggage on the bed. On top of that, there were two USB chargers and one of them was not working and when I claimed for that the answer was "I cannot do anything". GREAT! It doesn't value the money at all!</t>
  </si>
  <si>
    <t>Ekpen</t>
  </si>
  <si>
    <t>Juli</t>
  </si>
  <si>
    <t>The location and the staff</t>
  </si>
  <si>
    <t>The bathrooms could be more hygienic, and there is not much space to leave suitcases and objects</t>
  </si>
  <si>
    <t>Annett</t>
  </si>
  <si>
    <t>Marwan</t>
  </si>
  <si>
    <t>Egypt</t>
  </si>
  <si>
    <t>The location cannot be beat, of course.</t>
  </si>
  <si>
    <t>There is only one toilet in the hallway, the showers are not well equipped (no shelves etc). On the booking.com page the breakfast was included. However, there was none.</t>
  </si>
  <si>
    <t>Katrín</t>
  </si>
  <si>
    <t>Iceland</t>
  </si>
  <si>
    <t>Lene</t>
  </si>
  <si>
    <t>Nice location</t>
  </si>
  <si>
    <t>Disappointing experience. I hadn't realized from the description of the room that I was about to book a room or a suitcase, the pictures linked to the ad showed nice rooms and yes now I can see the capsules as well, but I thought I had booked a room with a toilet in the hallway. Not a suitcase with communal changing rooms, run-down bathrooms and dirty toilets.</t>
  </si>
  <si>
    <t>Good value for money. Location was amazing and very friendly and helpful staff.</t>
  </si>
  <si>
    <t>Bathroom and toilets are super small and were not always the cleanest, you won’t get the towel here so you need to rent it.</t>
  </si>
  <si>
    <t>Simon</t>
  </si>
  <si>
    <t>Very central, convenient to everything.</t>
  </si>
  <si>
    <t>Ross</t>
  </si>
  <si>
    <t>Stéphane Préville</t>
  </si>
  <si>
    <t>Ania</t>
  </si>
  <si>
    <t>Location, friendly and communicative service, comfortable capsule, spacious coat hangers and shoe space.</t>
  </si>
  <si>
    <t>Bathroom issues, noisy air conditioning, no additional lockers.</t>
  </si>
  <si>
    <t>WiFi: 10, Bed rating: 10</t>
  </si>
  <si>
    <t>Wanda</t>
  </si>
  <si>
    <t>Close to Nyhaven and other touristy places, comfortable bed.</t>
  </si>
  <si>
    <t>Poor ventilation, hot capsule, hallway lights and noise, insufficient and unclean bathroom facilities.</t>
  </si>
  <si>
    <t>Marvin</t>
  </si>
  <si>
    <t>Morten Bonde</t>
  </si>
  <si>
    <t>Location, comfortable capsule.</t>
  </si>
  <si>
    <t>Too many loud talkers/yellers, singing at night in the dorm.</t>
  </si>
  <si>
    <t>Location, nice and helpful staff, clean bathroom and capsule.</t>
  </si>
  <si>
    <t>No kitchen area, no coffee available, no towels provided.</t>
  </si>
  <si>
    <t>Andrea</t>
  </si>
  <si>
    <t>Great location and helpful and friendly staff.</t>
  </si>
  <si>
    <t>Crumbling shared bathrooms, the drain does not work.</t>
  </si>
  <si>
    <t>A convenient option for one night</t>
  </si>
  <si>
    <t>Perfect place for a short stay in the center, the best option for this price</t>
  </si>
  <si>
    <t>No shelves in the shower to put things away</t>
  </si>
  <si>
    <t>Location, cleanliness in the common space and capsules</t>
  </si>
  <si>
    <t>Martuf97</t>
  </si>
  <si>
    <t>Ferran</t>
  </si>
  <si>
    <t>The location, the tranquility of the place (indifferent of the rest of the people sleeping there)</t>
  </si>
  <si>
    <t>Kelly</t>
  </si>
  <si>
    <t>It is amazing for the price you pay</t>
  </si>
  <si>
    <t>Nothing</t>
  </si>
  <si>
    <t>Room view: 7.5</t>
  </si>
  <si>
    <t>Ilia</t>
  </si>
  <si>
    <t>Our fan in the capsule did not work so we had to leave a little gap with capsule door, to simple not suffocate. And during the night two of our personal belongings got stolen!</t>
  </si>
  <si>
    <t>Joergen</t>
  </si>
  <si>
    <t>Dirty smelly mess</t>
  </si>
  <si>
    <t>Bed rating: 2.5. We ran away screaming 🙄</t>
  </si>
  <si>
    <t>Anthony</t>
  </si>
  <si>
    <t>The convenience to where I was going.</t>
  </si>
  <si>
    <t>Too uncomfortable for an old guy like me. For the young people that were there, it was rather good</t>
  </si>
  <si>
    <t>Lapo</t>
  </si>
  <si>
    <t>Very convenient spot nice concept with privacy in the capsule and really great potential with the bar and hang out, too.</t>
  </si>
  <si>
    <t>Östgård</t>
  </si>
  <si>
    <t>The location was perfect! In the middle of the butter eye on Nyhavn. The staff was nice and our capsule was clean. Suited well for 2 people.</t>
  </si>
  <si>
    <t>You could hear a little noise from the other capsules around, but not very much. The noise from the backyard was somewhat more annoying.</t>
  </si>
  <si>
    <t>Good location and decent standard.</t>
  </si>
  <si>
    <t>Anjo</t>
  </si>
  <si>
    <t>I was in a hotel for the first time Hostel with sleeping boxing - the peace, the air, the security and the bed linen were good! The staff friendly pleasant!</t>
  </si>
  <si>
    <t>The cleanliness was unfortunately not available in the common areas - in addition, it was untidy and things were standing around! I would recommend cleaning and cleaning once!</t>
  </si>
  <si>
    <t>Amazingly slept well!</t>
  </si>
  <si>
    <t>Yevgeniya</t>
  </si>
  <si>
    <t>The toilet was dirty and one of the stalls did not flush.</t>
  </si>
  <si>
    <t>I only liked the location of the hostel.</t>
  </si>
  <si>
    <t>Margaux</t>
  </si>
  <si>
    <t>Horrible to flee from!!!!! Don't rely on Booking notices!</t>
  </si>
  <si>
    <t>Marie-Marthe</t>
  </si>
  <si>
    <t>Only two toilets on the floor for everyone. They were not cleaned! Disgusting.</t>
  </si>
  <si>
    <t>Deniz Elif</t>
  </si>
  <si>
    <t>The location in the center of Copenhagen.</t>
  </si>
  <si>
    <t>Extremely dirty, no cleaning in the common areas in 3 nights. Not soundproof. Unpleasant reception staff. Uncomfortable cabins, brightness level depends on the number of people in the cabins around, you can end up in the dark. No ventilation in the capsule.</t>
  </si>
  <si>
    <t>Not more than one night.</t>
  </si>
  <si>
    <t>Gizem Can</t>
  </si>
  <si>
    <t>The location, bed size and the capsule in general, showers were perfect. Staff was friendly and welcoming. It was a good deal (money-outcome). Also bed sheets and pillows were so clean.</t>
  </si>
  <si>
    <t>Generally it was clean (there was a problem with some toilet flushes, and the sinks were a bit dirty because of the hair etc.), but the common areas were clean.</t>
  </si>
  <si>
    <t>The location is great and the building from the outside very nice, it is also great to sleep alone in the large beds.</t>
  </si>
  <si>
    <t>It did not smell good, you came in and got cheese feet directly as a welcome, but that is to be expected in a hostel, but I also found my bed not comfortable. In addition, I found the blue and green lights in the capsule very disturbing to sleep, it is not healthy. I tried to cover it, which I didn't really manage without tape or anything else. And finally the bathrooms. The toilet is super tight, you can't avoid touching the toilet with your legs if you want to close the door, very uncomfortable. And it is very dirty. Also, it has too few sinks, showers and toilets for so many beds.</t>
  </si>
  <si>
    <t>Vidhyasagar</t>
  </si>
  <si>
    <t>Perfect Location, nice staff and safe property. We got down from the metro one station before to walk around Christiania and then walked to the hotel, which is right in Nyhavn one of the most beautiful areas in Copenhagen. We got to the hotel and could not check in yet, but left our bags in a little area were many other people would leave their bags, so it was just fine. We did a lot of walking through the city center and came back to check in. The guy at the front desk was very helpful and nice. We had to change capsules because the codes were not working so he upgraded us to a smaller room and I thought that was very kind. The building itself has a lot of charm, all wooden floors and big windows with views to the patio, just perfect. You pay a very small fee for towels but it is all worth it. The capsule was nice and clean but the air was not that cold although it was April and we did fine for the night. The property is very safe and you have codes to access in case you come back late at night. There is a great patio were you can just chill and have some local beer that the Capsule hotel sells.</t>
  </si>
  <si>
    <t>We came back late and when we took a shower the soap had run out but the bathrooms were nice and clean.</t>
  </si>
  <si>
    <t>Trond Sørensen</t>
  </si>
  <si>
    <t>The location is perfect. And it was clean and nice.</t>
  </si>
  <si>
    <t>No bathroom or toilet in the room.</t>
  </si>
  <si>
    <t>Translated from Norwegian</t>
  </si>
  <si>
    <t>Ulrik</t>
  </si>
  <si>
    <t>Ludevico Jr</t>
  </si>
  <si>
    <t>Qatar</t>
  </si>
  <si>
    <t>Super central, the capsules were clean.</t>
  </si>
  <si>
    <t>The bathroom in the big dorm was not clean while I was there.</t>
  </si>
  <si>
    <t>Tiago</t>
  </si>
  <si>
    <t>Despite being a shared bathroom, it was always very clean. Capsule very clean and as expected.</t>
  </si>
  <si>
    <t>Lack of air conditioning in the capsule. It was very hot and it was hard to rest.</t>
  </si>
  <si>
    <t>Translated from Portuguese</t>
  </si>
  <si>
    <t>Perfect location in the center of Copenhagen. Very friendly service. Quite clean and quiet. We slept in a capsule, which is a great option for 1-2 nights. If I had to choose accommodation in Copenhagen again, I would choose this hostel again.</t>
  </si>
  <si>
    <t>We had capsules right next to the reception on the ground floor, which was inconvenient because we had to go to the second part and the floor above to get to the bathrooms with showers. Entrance to the higher capsule is through the beer grates, some stairs would be better. There is not enough space to make breakfast and tea in the morning.</t>
  </si>
  <si>
    <t>Translated from Polish</t>
  </si>
  <si>
    <t>Ivan Kure</t>
  </si>
  <si>
    <t>Snoring from the overlord</t>
  </si>
  <si>
    <t>Translated from Danish</t>
  </si>
  <si>
    <t>Jasna</t>
  </si>
  <si>
    <t>Perfect accommodation for budget travel. Good location, and definitely a good place to stay considering CPH prices. We stayed for 1 week, so we took a double room. As we had a small problem with the first one, they kindly found us a new room. The staff cleans all the common bathrooms and toilets carefully, but it is impossible to keep the common areas clean 24/7 because the turnover of people staying there for short periods (a night or two) is very high. And some people don't know how or don't want to clean up after themselves. The people at the reception are super friendly, the owner is also very nice.</t>
  </si>
  <si>
    <t>The hostel is being expanded and renovated, so it makes a difference whether you sleep in the newer part or the older part (above the reception). It is advisable to bring earplugs, especially if you are a light sleeper. They are supposed to have earplugs at reception, but they were not in stock when we stayed there. Toilets are scattered throughout the house, it's worth asking at reception. The only really bad thing is the water pressure on the toilets - because there are so many guests, there may be no water in the kettle. This is understandable, as it's an old 18th century house, so the plumbing isn't like new builds.</t>
  </si>
  <si>
    <t>Douglas Owen</t>
  </si>
  <si>
    <t>The concept and price and location were ideal for our stay. Would recommend to any couples or friends who are looking for a cheaper place in a fantastic location!</t>
  </si>
  <si>
    <t>Facilities could have been better, only 1 working toilet on the floor we stayed on.</t>
  </si>
  <si>
    <t>Peder</t>
  </si>
  <si>
    <t>Dom Eiben</t>
  </si>
  <si>
    <t>Great location and friendly staff at the bar for my late arrival. Generous sized room and bed, Nyhavn on the doorstep, and not far from the metro, which was handy as I had an early departure for the airport. Not somewhere I would choose for a family stay, but certainly a great alternative to a hostel for the individual or couple travelling to Copenhagen.</t>
  </si>
  <si>
    <t>Pretty thin walls to be honest, with a shared bathroom just behind my headboard from which you could hear too much.</t>
  </si>
  <si>
    <t>Great for a bargain overnight stay in the beautiful Nyhavn quarter of Copenhagen</t>
  </si>
  <si>
    <t>Joel</t>
  </si>
  <si>
    <t>Alyssa</t>
  </si>
  <si>
    <t>Sean Dean</t>
  </si>
  <si>
    <t>It is too hot and there is no air inside the capsules. When you switch ventilation ON - nothing changes. As soon as you close the door to the capsule, it becomes hot immediately.</t>
  </si>
  <si>
    <t>Central location. No air in capsules and they are too hot.</t>
  </si>
  <si>
    <t>Ashish Kumar</t>
  </si>
  <si>
    <t>Romby</t>
  </si>
  <si>
    <t>Very clean and fresh.</t>
  </si>
  <si>
    <t>The capsules are almost unbearably hot which unfortunately makes the whole night and stay pretty uncomfortable.</t>
  </si>
  <si>
    <t>Great but warm.</t>
  </si>
  <si>
    <t>Michael</t>
  </si>
  <si>
    <t>Michele</t>
  </si>
  <si>
    <t>Dudas</t>
  </si>
  <si>
    <t>Everything is beautiful.</t>
  </si>
  <si>
    <t>Jonas</t>
  </si>
  <si>
    <t>Sofiia</t>
  </si>
  <si>
    <t>The capsule itself, the lack of a normal socket in the room, noisy, no towels, unstable internet, no mobile connection.</t>
  </si>
  <si>
    <t>Henk</t>
  </si>
  <si>
    <t>The air conditioning, hygiene toilet room, sleeping capsules, access to our capsule through stacked soda crates.</t>
  </si>
  <si>
    <t>We had a lot of fun, but this was once and not again.</t>
  </si>
  <si>
    <t>Easy and sweet welcome, easy to find. Fantastic solution.</t>
  </si>
  <si>
    <t>Too hot in the room and no room for it, locked lockers for luggage, more toilets and more cleaning, refilling the bathroom and toilets.</t>
  </si>
  <si>
    <t>Derwin Gil</t>
  </si>
  <si>
    <t>The treatment of the staff and the location are excellent.</t>
  </si>
  <si>
    <t>The mixed bathroom and very few cubicles for so many people.</t>
  </si>
  <si>
    <t>Tara</t>
  </si>
  <si>
    <t>So noisy with deliveries in the morning. Terrible smell in the room.</t>
  </si>
  <si>
    <t>Terrible.</t>
  </si>
  <si>
    <t>Ester</t>
  </si>
  <si>
    <t>The location is spectacular, in the middle of lively Newhavn. Many attractions are within walking distance, various bathing areas nearby, the staff were very friendly. The internet is okay and also works on the bench in front of the house.</t>
  </si>
  <si>
    <t>The room with the capsules smelled strongly musty, the capsules were as expected, the bed comfortable. The bathroom and toilet facilities were very basic and not very clean. The house makes a lot of noise from the outside, inside, beyond the reception, lets it down really badly, nobody seems to have any special interest in attractive design. The opposite of hyggelig....</t>
  </si>
  <si>
    <t>Practical but the opposite of hyggelig.</t>
  </si>
  <si>
    <t>Flóra</t>
  </si>
  <si>
    <t>Eleonora Natali</t>
  </si>
  <si>
    <t>Beyza</t>
  </si>
  <si>
    <t>The location and actual building were great.</t>
  </si>
  <si>
    <t>The capsules had no insulation and no soundproofing. To get to the top capsule you had to climb milk crates that seemed very unstable. No place to store bags/suitcases so had to lift 25kg suitcases into the capsule and sleep with them in the capsule. Only two toilets which were dirty and unkept. Other capsule opposite us locked them out.</t>
  </si>
  <si>
    <t>Don’t go.</t>
  </si>
  <si>
    <t>Adam</t>
  </si>
  <si>
    <t>Asiyaf</t>
  </si>
  <si>
    <t>Azerbaijan</t>
  </si>
  <si>
    <t>Super cheap</t>
  </si>
  <si>
    <t>Friendly staff, room neat and clean.</t>
  </si>
  <si>
    <t>Spontaneous women's day in Nyhavn. Will probably come back. Comment from the management: 2 June 2024 by Mar. "Dear Lene,We are very glad to hear you enjoyed your stay and we hope your kvinde-weekend was fun! Best wishes, Nyhavn63 Capsule Hotel"</t>
  </si>
  <si>
    <t>Robert</t>
  </si>
  <si>
    <t>Basic place to stay, not very clean</t>
  </si>
  <si>
    <t>Dear Robert, Thank you for your feedback. We're glad you enjoyed our location. We're sorry to hear about the cleanliness issues and will address this with our team. We hope to provide a better experience on your next visit. Kind regards, Nyhavn63 Capsule Hotel</t>
  </si>
  <si>
    <t>Erik</t>
  </si>
  <si>
    <t>Dear Erik, Thank you for your rating. We're sorry to see we didn't meet your expectations. If you have any specific feedback, we'd love to hear it to help us improve. Best regards, Nyhavn63 Capsule Hotel</t>
  </si>
  <si>
    <t>Phillip</t>
  </si>
  <si>
    <t>I liked the unique 'capsule' element of the hostel, it isn't something I've seen much. They are shared dorms but still retain some privacy and security in a double bed-sized pod with USB/plug sockets to charge devices and AC controls. The staff are friendly and helpful, reasonably priced rates and a fantastic location (just a stone's throw from Nyhavn- as the name suggests) for all the main points of interest around Copenhagen.</t>
  </si>
  <si>
    <t>My only criticism is the keypad used to open the pod can be a little tricky and took a while for me to get the hang of!</t>
  </si>
  <si>
    <t>Thank you for your review! We're glad you enjoyed the capsule experience, our friendly staff, and the fantastic location. We appreciate your feedback on the keypads and will try to make them more user-friendly. Looking forward to welcoming you back soon! Best regards,</t>
  </si>
  <si>
    <t>Ahmad</t>
  </si>
  <si>
    <t>Dear Ahmad, we are really happy you enjoyed your stay with us! We hope to see you again. Best wishes,</t>
  </si>
  <si>
    <t>Antoine</t>
  </si>
  <si>
    <t>Hello Antonie, we are sorry you could not enjoy your stay. Please let us know how we can improve the experience for the future guests. Regards,</t>
  </si>
  <si>
    <t>Bounphay</t>
  </si>
  <si>
    <t>The property is right in the heart of Copenhagen</t>
  </si>
  <si>
    <t>Lovely to hear you enjoyed the stay! Hope to see you soon. Best wishes,</t>
  </si>
  <si>
    <t>We are glad you enjoyed your stay</t>
  </si>
  <si>
    <t>Comment by Reception Nyhavn63 on 06/07/2024</t>
  </si>
  <si>
    <t>Nagraj</t>
  </si>
  <si>
    <t>No proper ventilation or any other facility. Had to check out a day early.</t>
  </si>
  <si>
    <t>Management response: Apologized and mentioned they are working on improvements.</t>
  </si>
  <si>
    <t xml:space="preserve">Louise </t>
  </si>
  <si>
    <t>Smelled like cat urine both in the corridor and in the room. Poorly cleaned and had poor ventilation.</t>
  </si>
  <si>
    <t>No ventilation, very hot and stuffy capsules, couldn't open windows</t>
  </si>
  <si>
    <t>Hanna</t>
  </si>
  <si>
    <t>Not very clean, needs new toilets and showers</t>
  </si>
  <si>
    <t>Kaleah</t>
  </si>
  <si>
    <t>Sara</t>
  </si>
  <si>
    <t>Capsule was fine</t>
  </si>
  <si>
    <t>Only two toilets, no common spaces, unisex showers poorly designed</t>
  </si>
  <si>
    <t>Too old for this type of accommodation</t>
  </si>
  <si>
    <t>Jenni</t>
  </si>
  <si>
    <t>Frank</t>
  </si>
  <si>
    <t>Dave</t>
  </si>
  <si>
    <t>Matteo</t>
  </si>
  <si>
    <t>Tais</t>
  </si>
  <si>
    <t>May-Britt</t>
  </si>
  <si>
    <t>No paper or towels in communal bathroom</t>
  </si>
  <si>
    <t>Excellent location, quiet courtyard, helpful staff</t>
  </si>
  <si>
    <t>Small room, dirty pillows, shared bathrooms not very clean</t>
  </si>
  <si>
    <t>One-night stay before a cruise, acceptable for a short stay</t>
  </si>
  <si>
    <t>Sille</t>
  </si>
  <si>
    <t>Super cheap stay and fine when you just need to sleep.</t>
  </si>
  <si>
    <t>It gets very hot in the cabin and the toilets reminded me of a festival.</t>
  </si>
  <si>
    <t>Comment from Hotel Management (06/25/2024 by Reception Nyhavn63): Dear Sille, We are sorry you didn't find our facilities to be clean enough, we will keep your comment in mind. Best regards, Lorenzo</t>
  </si>
  <si>
    <t>Mikkel</t>
  </si>
  <si>
    <t>Feedback important, apologizes for disappointment.</t>
  </si>
  <si>
    <t>Niels</t>
  </si>
  <si>
    <t>Feedback important, apologizes for less satisfactory stay.</t>
  </si>
  <si>
    <t>Ben Aeg</t>
  </si>
  <si>
    <t>Aircon not working at all so could not sleep</t>
  </si>
  <si>
    <t>Chirag Singh</t>
  </si>
  <si>
    <t>Horrendous experience, no confirmation email, no response to inquiries, refused to refund money, unprofessional</t>
  </si>
  <si>
    <t>Booking made through the website, no confirmation received. Multiple attempts to contact with no response. Had to book another place upon arrival in Copenhagen. Claims of the hotel running a scam.</t>
  </si>
  <si>
    <t>L Ng</t>
  </si>
  <si>
    <t>No ventilation, no AC, super hot capsule, a lot of noise from people moving through creaky doors</t>
  </si>
  <si>
    <t>Dung Tran Quoc</t>
  </si>
  <si>
    <t>It's right at the end of the Nyhavn street.</t>
  </si>
  <si>
    <t>Room smells like onion, squeaky floors, giant tree trunk going through the room, no lifts, noisy surroundings, disconnected staff.</t>
  </si>
  <si>
    <t>Paid 66€ a night for a tiny room. Be careful not to bang your head in the morning. Good luck hauling your giant suitcase up those old stairs.</t>
  </si>
  <si>
    <t>Dunelabs</t>
  </si>
  <si>
    <t>Good</t>
  </si>
  <si>
    <t>Not worth it</t>
  </si>
  <si>
    <t>Bathrooms are fine and the location is good.</t>
  </si>
  <si>
    <t>Capsules are hot at night, no attempt to cool the room. No security for suitcases, left in the open.</t>
  </si>
  <si>
    <t>Marie Sureau</t>
  </si>
  <si>
    <t>Great value</t>
  </si>
  <si>
    <t>Small, pleasant, air-conditioned, and comfortable capsules. Perfect for budget-friendly trips. Very welcoming staff.</t>
  </si>
  <si>
    <t>Rooms: 5.0, Service: 5.0, Location: 5.0. Hotel highlights: Great value.</t>
  </si>
  <si>
    <t>Victoria Baginska</t>
  </si>
  <si>
    <t>3 showers for over 39 people. No air conditioning. Bad cleaning service: dust and pillow on the floor. Really bad memories.</t>
  </si>
  <si>
    <t>Rooms: 1.0, Service: 1.0, Location: 1.0. Hotel highlights: Great value.</t>
  </si>
  <si>
    <t>Ingrid Ledger</t>
  </si>
  <si>
    <t>Booking mistake, no compensation or support, had to split trip over 3 accommodations.</t>
  </si>
  <si>
    <t>People at the front desk were nice and just trying to do their job.</t>
  </si>
  <si>
    <t>William Lintott</t>
  </si>
  <si>
    <t>Overbooked, forced to sleep on the streets, no communication or alternative accommodation.</t>
  </si>
  <si>
    <t>If you’re visiting Copenhagen for the first time - STAY AWAY</t>
  </si>
  <si>
    <t>Robert Paulsbyen</t>
  </si>
  <si>
    <t>Poor maintenance, no ventilation, small toilets, poor sleep quality.</t>
  </si>
  <si>
    <t>If you want to be boiled in an incubator-like housing unit in the smell of piss, this is for you.</t>
  </si>
  <si>
    <t>Yağmur Şimşek</t>
  </si>
  <si>
    <t>Great location, comfortable bed, and pillow. Capsule is big enough for one person.</t>
  </si>
  <si>
    <t>Def recommended. Would come back here again.</t>
  </si>
  <si>
    <t>Matthew K</t>
  </si>
  <si>
    <t>Capsules were clean, showers had good pressure/temp.</t>
  </si>
  <si>
    <t>Poor air circulation in capsules, had to leave door open. Housekeeping noise early in the morning, bad smell.</t>
  </si>
  <si>
    <t>Should have just slept outside on the street...</t>
  </si>
  <si>
    <t>Michel Margaux</t>
  </si>
  <si>
    <t>To flee!!!</t>
  </si>
  <si>
    <t>G.B. Groen</t>
  </si>
  <si>
    <t>Cramped noisy sleeping cabins, insufficient and dirty sanitary facilities far from sleeping area. Poor value for money.</t>
  </si>
  <si>
    <t>Compared to a dormitory: there is a curtain in front of your bed. Absolutely insufficient price-quality ratio.</t>
  </si>
  <si>
    <t>Sofiia Martynchenko</t>
  </si>
  <si>
    <t>Did not like the capsule, lack of normal socket (only type C and USB), noisy environment, no towels (only for purchase at 20 crowns each), unstable internet, Wi-Fi turned off at night, no mobile connection in closed capsule.</t>
  </si>
  <si>
    <t>Miguel Ruigomez</t>
  </si>
  <si>
    <t>Everything was quite good, best price when comparing, capsule more spacious than expected, staff (Paula) helped plan the day and answered questions.</t>
  </si>
  <si>
    <t>Keshab</t>
  </si>
  <si>
    <t>Value For Money: 8, Security: 10, Location: 10, Staff: 8, Atmosphere: 8, Cleanliness: 8, Facilities: 4</t>
  </si>
  <si>
    <t>Rei</t>
  </si>
  <si>
    <t>Very comfortable capsules and nice staff</t>
  </si>
  <si>
    <t>Value For Money: 10, Security: 10, Location: 10, Staff: 10, Atmosphere: 10, Cleanliness: 10, Facilities: 10</t>
  </si>
  <si>
    <t>Eva</t>
  </si>
  <si>
    <t>Value For Money: 6, Security: 8, Location: 10, Staff: 6, Atmosphere: 6, Cleanliness: 4, Facilities: 4</t>
  </si>
  <si>
    <t>Tripadvisor</t>
  </si>
  <si>
    <t>Chirag S</t>
  </si>
  <si>
    <t>Terrible experience with no confirmation email, no response to multiple attempts at contact, had to book another place, refused refund, unprofessional, running a scam.</t>
  </si>
  <si>
    <t>Horrendous experience at Nyhavn 63 Capsule Hotel in Copenhagen. Advised to avoid the hotel and book elsewhere for a peaceful stay.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</si>
</sst>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quot;-&quot;dd&quot;-&quot;yyyy"/>
    <numFmt numFmtId="165" formatCode="mm/dd/yyyy"/>
    <numFmt numFmtId="166" formatCode="m/d"/>
  </numFmts>
  <fonts count="14">
    <font>
      <sz val="10"/>
      <color rgb="FF000000"/>
      <name val="Arial"/>
      <scheme val="minor"/>
    </font>
    <font>
      <sz val="13"/>
      <color theme="1"/>
      <name val="Arial"/>
    </font>
    <font>
      <sz val="10"/>
      <color theme="1"/>
      <name val="Arial"/>
      <scheme val="minor"/>
    </font>
    <font>
      <sz val="16"/>
      <color theme="1"/>
      <name val="Arial"/>
      <scheme val="minor"/>
    </font>
    <font>
      <b/>
      <sz val="11"/>
      <color theme="1"/>
      <name val="Arial"/>
    </font>
    <font>
      <sz val="10"/>
      <color rgb="FF414141"/>
      <name val="Arial"/>
    </font>
    <font>
      <sz val="10"/>
      <color theme="1"/>
      <name val="Arial"/>
    </font>
    <font>
      <b/>
      <sz val="12"/>
      <color theme="1"/>
      <name val="Arial"/>
      <scheme val="minor"/>
    </font>
    <font>
      <sz val="10"/>
      <color rgb="FF000000"/>
      <name val="Arial"/>
    </font>
    <font>
      <b/>
      <i/>
      <sz val="15"/>
      <color theme="1"/>
      <name val="Arial"/>
    </font>
    <font>
      <sz val="10"/>
      <name val="Arial"/>
    </font>
    <font>
      <b/>
      <i/>
      <sz val="12"/>
      <color theme="1"/>
      <name val="Arial"/>
    </font>
    <font>
      <i/>
      <sz val="14"/>
      <color theme="1"/>
      <name val="Arial"/>
    </font>
    <font>
      <sz val="9"/>
      <color rgb="FF1155CC"/>
      <name val="&quot;Google Sans Mono&quot;"/>
    </font>
  </fonts>
  <fills count="13">
    <fill>
      <patternFill patternType="none"/>
    </fill>
    <fill>
      <patternFill patternType="gray125"/>
    </fill>
    <fill>
      <patternFill patternType="solid">
        <fgColor rgb="FFEFEFEF"/>
        <bgColor rgb="FFEFEFEF"/>
      </patternFill>
    </fill>
    <fill>
      <patternFill patternType="solid">
        <fgColor rgb="FFEA9999"/>
        <bgColor rgb="FFEA9999"/>
      </patternFill>
    </fill>
    <fill>
      <patternFill patternType="solid">
        <fgColor rgb="FF999999"/>
        <bgColor rgb="FF999999"/>
      </patternFill>
    </fill>
    <fill>
      <patternFill patternType="solid">
        <fgColor rgb="FFFCE5CD"/>
        <bgColor rgb="FFFCE5CD"/>
      </patternFill>
    </fill>
    <fill>
      <patternFill patternType="solid">
        <fgColor rgb="FFFFFFFF"/>
        <bgColor rgb="FFFFFFFF"/>
      </patternFill>
    </fill>
    <fill>
      <patternFill patternType="solid">
        <fgColor rgb="FF84ECF4"/>
        <bgColor rgb="FF84ECF4"/>
      </patternFill>
    </fill>
    <fill>
      <patternFill patternType="solid">
        <fgColor rgb="FFCCCCCC"/>
        <bgColor rgb="FFCCCCCC"/>
      </patternFill>
    </fill>
    <fill>
      <patternFill patternType="solid">
        <fgColor rgb="FFB7B7B7"/>
        <bgColor rgb="FFB7B7B7"/>
      </patternFill>
    </fill>
    <fill>
      <patternFill patternType="solid">
        <fgColor rgb="FFFFBABA"/>
        <bgColor rgb="FFFFBABA"/>
      </patternFill>
    </fill>
    <fill>
      <patternFill patternType="solid">
        <fgColor rgb="FFE06666"/>
        <bgColor rgb="FFE06666"/>
      </patternFill>
    </fill>
    <fill>
      <patternFill patternType="solid">
        <fgColor rgb="FFFFE1E1"/>
        <bgColor rgb="FFFFE1E1"/>
      </patternFill>
    </fill>
  </fills>
  <borders count="37">
    <border>
      <left/>
      <right/>
      <top/>
      <bottom/>
      <diagonal/>
    </border>
    <border>
      <left style="thick">
        <color rgb="FFB7B7B7"/>
      </left>
      <right style="thin">
        <color rgb="FFB7B7B7"/>
      </right>
      <top style="thick">
        <color rgb="FFB7B7B7"/>
      </top>
      <bottom style="thin">
        <color rgb="FFB7B7B7"/>
      </bottom>
      <diagonal/>
    </border>
    <border>
      <left style="thin">
        <color rgb="FFB7B7B7"/>
      </left>
      <right style="thin">
        <color rgb="FFB7B7B7"/>
      </right>
      <top style="thick">
        <color rgb="FFB7B7B7"/>
      </top>
      <bottom style="thin">
        <color rgb="FFB7B7B7"/>
      </bottom>
      <diagonal/>
    </border>
    <border>
      <left style="thin">
        <color rgb="FFB7B7B7"/>
      </left>
      <right style="thick">
        <color rgb="FFB7B7B7"/>
      </right>
      <top style="thick">
        <color rgb="FFB7B7B7"/>
      </top>
      <bottom style="thin">
        <color rgb="FFB7B7B7"/>
      </bottom>
      <diagonal/>
    </border>
    <border>
      <left style="thick">
        <color rgb="FFB7B7B7"/>
      </left>
      <right style="thin">
        <color rgb="FFB7B7B7"/>
      </right>
      <top style="thin">
        <color rgb="FFB7B7B7"/>
      </top>
      <bottom style="thin">
        <color rgb="FFB7B7B7"/>
      </bottom>
      <diagonal/>
    </border>
    <border>
      <left style="thin">
        <color rgb="FFB7B7B7"/>
      </left>
      <right style="thin">
        <color rgb="FFB7B7B7"/>
      </right>
      <top style="thin">
        <color rgb="FFB7B7B7"/>
      </top>
      <bottom style="thin">
        <color rgb="FFB7B7B7"/>
      </bottom>
      <diagonal/>
    </border>
    <border>
      <left style="thin">
        <color rgb="FFB7B7B7"/>
      </left>
      <right style="thick">
        <color rgb="FFB7B7B7"/>
      </right>
      <top style="thin">
        <color rgb="FFB7B7B7"/>
      </top>
      <bottom style="thin">
        <color rgb="FFB7B7B7"/>
      </bottom>
      <diagonal/>
    </border>
    <border>
      <left style="thick">
        <color rgb="FFB7B7B7"/>
      </left>
      <right style="thin">
        <color rgb="FFB7B7B7"/>
      </right>
      <top style="thin">
        <color rgb="FFB7B7B7"/>
      </top>
      <bottom style="thick">
        <color rgb="FFB7B7B7"/>
      </bottom>
      <diagonal/>
    </border>
    <border>
      <left style="thin">
        <color rgb="FFB7B7B7"/>
      </left>
      <right style="thin">
        <color rgb="FFB7B7B7"/>
      </right>
      <top style="thin">
        <color rgb="FFB7B7B7"/>
      </top>
      <bottom style="thick">
        <color rgb="FFB7B7B7"/>
      </bottom>
      <diagonal/>
    </border>
    <border>
      <left style="thin">
        <color rgb="FFB7B7B7"/>
      </left>
      <right style="thick">
        <color rgb="FFB7B7B7"/>
      </right>
      <top style="thin">
        <color rgb="FFB7B7B7"/>
      </top>
      <bottom style="thick">
        <color rgb="FFB7B7B7"/>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ck">
        <color rgb="FFB7B7B7"/>
      </bottom>
      <diagonal/>
    </border>
    <border>
      <left/>
      <right/>
      <top/>
      <bottom style="thick">
        <color rgb="FFB7B7B7"/>
      </bottom>
      <diagonal/>
    </border>
    <border>
      <left/>
      <right style="thin">
        <color rgb="FF000000"/>
      </right>
      <top/>
      <bottom style="thick">
        <color rgb="FFB7B7B7"/>
      </bottom>
      <diagonal/>
    </border>
    <border>
      <left style="thin">
        <color rgb="FF000000"/>
      </left>
      <right style="thin">
        <color rgb="FFB7B7B7"/>
      </right>
      <top/>
      <bottom style="thin">
        <color rgb="FFB7B7B7"/>
      </bottom>
      <diagonal/>
    </border>
    <border>
      <left/>
      <right style="thin">
        <color rgb="FFB7B7B7"/>
      </right>
      <top/>
      <bottom style="thin">
        <color rgb="FFB7B7B7"/>
      </bottom>
      <diagonal/>
    </border>
    <border>
      <left/>
      <right style="thin">
        <color rgb="FF000000"/>
      </right>
      <top/>
      <bottom style="thin">
        <color rgb="FFB7B7B7"/>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999999"/>
      </left>
      <right style="thin">
        <color rgb="FF999999"/>
      </right>
      <top style="thin">
        <color rgb="FF999999"/>
      </top>
      <bottom style="thin">
        <color rgb="FF999999"/>
      </bottom>
      <diagonal/>
    </border>
    <border>
      <left style="medium">
        <color rgb="FFB7B7B7"/>
      </left>
      <right/>
      <top style="medium">
        <color rgb="FFB7B7B7"/>
      </top>
      <bottom/>
      <diagonal/>
    </border>
    <border>
      <left/>
      <right/>
      <top style="medium">
        <color rgb="FFB7B7B7"/>
      </top>
      <bottom/>
      <diagonal/>
    </border>
    <border>
      <left/>
      <right style="medium">
        <color rgb="FFB7B7B7"/>
      </right>
      <top style="medium">
        <color rgb="FFB7B7B7"/>
      </top>
      <bottom/>
      <diagonal/>
    </border>
    <border>
      <left style="medium">
        <color rgb="FFB7B7B7"/>
      </left>
      <right/>
      <top/>
      <bottom style="thick">
        <color rgb="FFB7B7B7"/>
      </bottom>
      <diagonal/>
    </border>
    <border>
      <left/>
      <right style="medium">
        <color rgb="FFB7B7B7"/>
      </right>
      <top/>
      <bottom style="thick">
        <color rgb="FFB7B7B7"/>
      </bottom>
      <diagonal/>
    </border>
    <border>
      <left style="medium">
        <color rgb="FFB7B7B7"/>
      </left>
      <right style="thin">
        <color rgb="FF999999"/>
      </right>
      <top style="thin">
        <color rgb="FF999999"/>
      </top>
      <bottom style="thin">
        <color rgb="FF999999"/>
      </bottom>
      <diagonal/>
    </border>
    <border>
      <left style="thin">
        <color rgb="FF999999"/>
      </left>
      <right style="medium">
        <color rgb="FFB7B7B7"/>
      </right>
      <top style="thin">
        <color rgb="FF999999"/>
      </top>
      <bottom style="thin">
        <color rgb="FF999999"/>
      </bottom>
      <diagonal/>
    </border>
    <border>
      <left style="medium">
        <color rgb="FFB7B7B7"/>
      </left>
      <right/>
      <top/>
      <bottom/>
      <diagonal/>
    </border>
    <border>
      <left/>
      <right style="medium">
        <color rgb="FFB7B7B7"/>
      </right>
      <top/>
      <bottom/>
      <diagonal/>
    </border>
    <border>
      <left style="medium">
        <color rgb="FFB7B7B7"/>
      </left>
      <right/>
      <top/>
      <bottom style="medium">
        <color rgb="FFB7B7B7"/>
      </bottom>
      <diagonal/>
    </border>
    <border>
      <left/>
      <right/>
      <top/>
      <bottom style="medium">
        <color rgb="FFB7B7B7"/>
      </bottom>
      <diagonal/>
    </border>
    <border>
      <left/>
      <right style="medium">
        <color rgb="FFB7B7B7"/>
      </right>
      <top/>
      <bottom style="medium">
        <color rgb="FFB7B7B7"/>
      </bottom>
      <diagonal/>
    </border>
  </borders>
  <cellStyleXfs count="1">
    <xf numFmtId="0" fontId="0" fillId="0" borderId="0"/>
  </cellStyleXfs>
  <cellXfs count="92">
    <xf numFmtId="0" fontId="0" fillId="0" borderId="0" xfId="0"/>
    <xf numFmtId="0" fontId="2" fillId="3" borderId="0" xfId="0" applyFont="1" applyFill="1"/>
    <xf numFmtId="0" fontId="3" fillId="3" borderId="0" xfId="0" applyFont="1" applyFill="1"/>
    <xf numFmtId="0" fontId="2" fillId="4" borderId="0" xfId="0" applyFont="1" applyFill="1"/>
    <xf numFmtId="0" fontId="3" fillId="4" borderId="0" xfId="0" applyFont="1" applyFill="1"/>
    <xf numFmtId="0" fontId="4" fillId="5" borderId="0" xfId="0" applyFont="1" applyFill="1"/>
    <xf numFmtId="164" fontId="4" fillId="5" borderId="0" xfId="0" applyNumberFormat="1" applyFont="1" applyFill="1"/>
    <xf numFmtId="1" fontId="4" fillId="5" borderId="0" xfId="0" applyNumberFormat="1" applyFont="1" applyFill="1"/>
    <xf numFmtId="0" fontId="2" fillId="0" borderId="0" xfId="0" applyFont="1"/>
    <xf numFmtId="165" fontId="2" fillId="0" borderId="0" xfId="0" applyNumberFormat="1" applyFont="1"/>
    <xf numFmtId="0" fontId="5" fillId="6" borderId="0" xfId="0" applyFont="1" applyFill="1" applyAlignment="1">
      <alignment horizontal="left"/>
    </xf>
    <xf numFmtId="0" fontId="2" fillId="0" borderId="0" xfId="0" applyFont="1" applyAlignment="1">
      <alignment wrapText="1"/>
    </xf>
    <xf numFmtId="165" fontId="6" fillId="0" borderId="0" xfId="0" applyNumberFormat="1" applyFont="1" applyAlignment="1">
      <alignment horizontal="right"/>
    </xf>
    <xf numFmtId="0" fontId="6" fillId="0" borderId="0" xfId="0" applyFont="1"/>
    <xf numFmtId="0" fontId="6" fillId="0" borderId="0" xfId="0" applyFont="1" applyAlignment="1">
      <alignment horizontal="right"/>
    </xf>
    <xf numFmtId="166" fontId="2" fillId="0" borderId="0" xfId="0" applyNumberFormat="1" applyFont="1"/>
    <xf numFmtId="0" fontId="7" fillId="7" borderId="1" xfId="0" applyFont="1" applyFill="1" applyBorder="1" applyAlignment="1">
      <alignment horizontal="center" vertical="center"/>
    </xf>
    <xf numFmtId="0" fontId="7" fillId="7" borderId="2" xfId="0" applyFont="1" applyFill="1" applyBorder="1" applyAlignment="1">
      <alignment horizontal="center" vertical="center"/>
    </xf>
    <xf numFmtId="0" fontId="7" fillId="7" borderId="3" xfId="0" applyFont="1" applyFill="1" applyBorder="1" applyAlignment="1">
      <alignment horizontal="center" vertical="center"/>
    </xf>
    <xf numFmtId="0" fontId="2" fillId="0" borderId="0" xfId="0" applyFont="1" applyAlignment="1">
      <alignment vertical="center"/>
    </xf>
    <xf numFmtId="0" fontId="2" fillId="0" borderId="0" xfId="0" applyFont="1" applyAlignment="1">
      <alignment horizontal="right"/>
    </xf>
    <xf numFmtId="0" fontId="2" fillId="0" borderId="4" xfId="0" applyFont="1" applyBorder="1"/>
    <xf numFmtId="0" fontId="2" fillId="0" borderId="5" xfId="0" applyFont="1" applyBorder="1"/>
    <xf numFmtId="0" fontId="2" fillId="0" borderId="6" xfId="0" applyFont="1" applyBorder="1"/>
    <xf numFmtId="0" fontId="2" fillId="0" borderId="7" xfId="0" applyFont="1" applyBorder="1"/>
    <xf numFmtId="0" fontId="2" fillId="0" borderId="8" xfId="0" applyFont="1" applyBorder="1"/>
    <xf numFmtId="0" fontId="2" fillId="0" borderId="9" xfId="0" applyFont="1" applyBorder="1"/>
    <xf numFmtId="0" fontId="8" fillId="6" borderId="0" xfId="0" applyFont="1" applyFill="1" applyAlignment="1">
      <alignment horizontal="left"/>
    </xf>
    <xf numFmtId="0" fontId="11" fillId="2" borderId="16" xfId="0" applyFont="1" applyFill="1" applyBorder="1" applyAlignment="1">
      <alignment horizontal="center"/>
    </xf>
    <xf numFmtId="0" fontId="11" fillId="2" borderId="17" xfId="0" applyFont="1" applyFill="1" applyBorder="1" applyAlignment="1">
      <alignment horizontal="center"/>
    </xf>
    <xf numFmtId="0" fontId="11" fillId="2" borderId="18" xfId="0" applyFont="1" applyFill="1" applyBorder="1" applyAlignment="1">
      <alignment horizontal="center"/>
    </xf>
    <xf numFmtId="0" fontId="6" fillId="2" borderId="19" xfId="0" applyFont="1" applyFill="1" applyBorder="1" applyAlignment="1">
      <alignment horizontal="right"/>
    </xf>
    <xf numFmtId="0" fontId="6" fillId="2" borderId="0" xfId="0" applyFont="1" applyFill="1" applyAlignment="1">
      <alignment horizontal="right"/>
    </xf>
    <xf numFmtId="0" fontId="6" fillId="2" borderId="20" xfId="0" applyFont="1" applyFill="1" applyBorder="1" applyAlignment="1">
      <alignment horizontal="right"/>
    </xf>
    <xf numFmtId="0" fontId="6" fillId="2" borderId="21" xfId="0" applyFont="1" applyFill="1" applyBorder="1" applyAlignment="1">
      <alignment horizontal="right"/>
    </xf>
    <xf numFmtId="0" fontId="6" fillId="2" borderId="22" xfId="0" applyFont="1" applyFill="1" applyBorder="1" applyAlignment="1">
      <alignment horizontal="right"/>
    </xf>
    <xf numFmtId="0" fontId="6" fillId="2" borderId="23" xfId="0" applyFont="1" applyFill="1" applyBorder="1" applyAlignment="1">
      <alignment horizontal="right"/>
    </xf>
    <xf numFmtId="0" fontId="2" fillId="8" borderId="0" xfId="0" applyFont="1" applyFill="1"/>
    <xf numFmtId="165" fontId="2" fillId="8" borderId="0" xfId="0" applyNumberFormat="1" applyFont="1" applyFill="1"/>
    <xf numFmtId="0" fontId="2" fillId="9" borderId="0" xfId="0" applyFont="1" applyFill="1"/>
    <xf numFmtId="165" fontId="2" fillId="9" borderId="0" xfId="0" applyNumberFormat="1" applyFont="1" applyFill="1"/>
    <xf numFmtId="1" fontId="4" fillId="0" borderId="0" xfId="0" applyNumberFormat="1" applyFont="1"/>
    <xf numFmtId="1" fontId="4" fillId="10" borderId="0" xfId="0" applyNumberFormat="1" applyFont="1" applyFill="1"/>
    <xf numFmtId="1" fontId="4" fillId="11" borderId="0" xfId="0" applyNumberFormat="1" applyFont="1" applyFill="1"/>
    <xf numFmtId="1" fontId="4" fillId="12" borderId="0" xfId="0" applyNumberFormat="1" applyFont="1" applyFill="1"/>
    <xf numFmtId="0" fontId="2" fillId="10" borderId="0" xfId="0" applyFont="1" applyFill="1"/>
    <xf numFmtId="0" fontId="2" fillId="11" borderId="0" xfId="0" applyFont="1" applyFill="1"/>
    <xf numFmtId="0" fontId="2" fillId="12" borderId="0" xfId="0" applyFont="1" applyFill="1"/>
    <xf numFmtId="4" fontId="2" fillId="0" borderId="0" xfId="0" applyNumberFormat="1" applyFont="1"/>
    <xf numFmtId="4" fontId="2" fillId="10" borderId="0" xfId="0" applyNumberFormat="1" applyFont="1" applyFill="1"/>
    <xf numFmtId="4" fontId="2" fillId="11" borderId="0" xfId="0" applyNumberFormat="1" applyFont="1" applyFill="1"/>
    <xf numFmtId="4" fontId="2" fillId="12" borderId="0" xfId="0" applyNumberFormat="1" applyFont="1" applyFill="1"/>
    <xf numFmtId="0" fontId="2" fillId="5" borderId="0" xfId="0" applyFont="1" applyFill="1"/>
    <xf numFmtId="0" fontId="2" fillId="5" borderId="0" xfId="0" applyFont="1" applyFill="1" applyAlignment="1">
      <alignment wrapText="1"/>
    </xf>
    <xf numFmtId="0" fontId="7" fillId="7" borderId="24" xfId="0" applyFont="1" applyFill="1" applyBorder="1" applyAlignment="1">
      <alignment horizontal="center" vertical="center"/>
    </xf>
    <xf numFmtId="0" fontId="2" fillId="0" borderId="24" xfId="0" applyFont="1" applyBorder="1"/>
    <xf numFmtId="0" fontId="7" fillId="2" borderId="30" xfId="0" applyFont="1" applyFill="1" applyBorder="1" applyAlignment="1">
      <alignment horizontal="center" vertical="center"/>
    </xf>
    <xf numFmtId="0" fontId="7" fillId="2" borderId="24" xfId="0" applyFont="1" applyFill="1" applyBorder="1" applyAlignment="1">
      <alignment horizontal="center" vertical="center"/>
    </xf>
    <xf numFmtId="0" fontId="7" fillId="2" borderId="31" xfId="0" applyFont="1" applyFill="1" applyBorder="1" applyAlignment="1">
      <alignment horizontal="center" vertical="center"/>
    </xf>
    <xf numFmtId="0" fontId="2" fillId="2" borderId="32" xfId="0" applyFont="1" applyFill="1" applyBorder="1"/>
    <xf numFmtId="0" fontId="2" fillId="2" borderId="0" xfId="0" applyFont="1" applyFill="1"/>
    <xf numFmtId="0" fontId="2" fillId="2" borderId="33" xfId="0" applyFont="1" applyFill="1" applyBorder="1"/>
    <xf numFmtId="0" fontId="2" fillId="2" borderId="34" xfId="0" applyFont="1" applyFill="1" applyBorder="1"/>
    <xf numFmtId="0" fontId="2" fillId="2" borderId="35" xfId="0" applyFont="1" applyFill="1" applyBorder="1"/>
    <xf numFmtId="0" fontId="2" fillId="2" borderId="36" xfId="0" applyFont="1" applyFill="1" applyBorder="1"/>
    <xf numFmtId="0" fontId="4" fillId="5" borderId="0" xfId="0" applyFont="1" applyFill="1" applyAlignment="1">
      <alignment horizontal="left"/>
    </xf>
    <xf numFmtId="164" fontId="4" fillId="5" borderId="0" xfId="0" applyNumberFormat="1" applyFont="1" applyFill="1" applyAlignment="1">
      <alignment horizontal="left"/>
    </xf>
    <xf numFmtId="1" fontId="4" fillId="5" borderId="0" xfId="0" applyNumberFormat="1" applyFont="1" applyFill="1" applyAlignment="1">
      <alignment horizontal="left"/>
    </xf>
    <xf numFmtId="0" fontId="2" fillId="0" borderId="0" xfId="0" applyFont="1" applyAlignment="1">
      <alignment horizontal="left"/>
    </xf>
    <xf numFmtId="165" fontId="2" fillId="0" borderId="0" xfId="0" applyNumberFormat="1" applyFont="1" applyAlignment="1">
      <alignment horizontal="left"/>
    </xf>
    <xf numFmtId="0" fontId="1" fillId="2" borderId="0" xfId="0" applyFont="1" applyFill="1" applyAlignment="1">
      <alignment wrapText="1"/>
    </xf>
    <xf numFmtId="0" fontId="0" fillId="0" borderId="0" xfId="0"/>
    <xf numFmtId="0" fontId="9" fillId="2" borderId="10" xfId="0" applyFont="1" applyFill="1" applyBorder="1" applyAlignment="1">
      <alignment horizontal="center" vertical="center"/>
    </xf>
    <xf numFmtId="0" fontId="10" fillId="0" borderId="11" xfId="0" applyFont="1" applyBorder="1"/>
    <xf numFmtId="0" fontId="10" fillId="0" borderId="12" xfId="0" applyFont="1" applyBorder="1"/>
    <xf numFmtId="0" fontId="10" fillId="0" borderId="13" xfId="0" applyFont="1" applyBorder="1"/>
    <xf numFmtId="0" fontId="10" fillId="0" borderId="14" xfId="0" applyFont="1" applyBorder="1"/>
    <xf numFmtId="0" fontId="10" fillId="0" borderId="15" xfId="0" applyFont="1" applyBorder="1"/>
    <xf numFmtId="0" fontId="12" fillId="2" borderId="10" xfId="0" applyFont="1" applyFill="1" applyBorder="1" applyAlignment="1">
      <alignment horizontal="left" vertical="center" wrapText="1"/>
    </xf>
    <xf numFmtId="0" fontId="10" fillId="0" borderId="19" xfId="0" applyFont="1" applyBorder="1"/>
    <xf numFmtId="0" fontId="10" fillId="0" borderId="20" xfId="0" applyFont="1" applyBorder="1"/>
    <xf numFmtId="0" fontId="10" fillId="0" borderId="21" xfId="0" applyFont="1" applyBorder="1"/>
    <xf numFmtId="0" fontId="10" fillId="0" borderId="22" xfId="0" applyFont="1" applyBorder="1"/>
    <xf numFmtId="0" fontId="10" fillId="0" borderId="23" xfId="0" applyFont="1" applyBorder="1"/>
    <xf numFmtId="0" fontId="2" fillId="0" borderId="0" xfId="0" applyFont="1"/>
    <xf numFmtId="0" fontId="2" fillId="0" borderId="0" xfId="0" applyFont="1" applyAlignment="1">
      <alignment wrapText="1"/>
    </xf>
    <xf numFmtId="4" fontId="13" fillId="6" borderId="0" xfId="0" applyNumberFormat="1" applyFont="1" applyFill="1"/>
    <xf numFmtId="0" fontId="9" fillId="2" borderId="25" xfId="0" applyFont="1" applyFill="1" applyBorder="1" applyAlignment="1">
      <alignment horizontal="center" vertical="center"/>
    </xf>
    <xf numFmtId="0" fontId="10" fillId="0" borderId="26" xfId="0" applyFont="1" applyBorder="1"/>
    <xf numFmtId="0" fontId="10" fillId="0" borderId="27" xfId="0" applyFont="1" applyBorder="1"/>
    <xf numFmtId="0" fontId="10" fillId="0" borderId="28" xfId="0" applyFont="1" applyBorder="1"/>
    <xf numFmtId="0" fontId="10" fillId="0" borderId="29" xfId="0" applyFont="1" applyBorder="1"/>
  </cellXfs>
  <cellStyles count="1">
    <cellStyle name="Normal" xfId="0" builtinId="0"/>
  </cellStyles>
  <dxfs count="4">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E06666"/>
          <bgColor rgb="FFE0666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a:solidFill>
                  <a:srgbClr val="0000FF"/>
                </a:solidFill>
                <a:latin typeface="+mn-lt"/>
              </a:defRPr>
            </a:pPr>
            <a:r>
              <a:rPr b="1">
                <a:solidFill>
                  <a:srgbClr val="0000FF"/>
                </a:solidFill>
                <a:latin typeface="+mn-lt"/>
              </a:rPr>
              <a:t>What makes guests complain ?</a:t>
            </a:r>
          </a:p>
        </c:rich>
      </c:tx>
      <c:overlay val="0"/>
    </c:title>
    <c:autoTitleDeleted val="0"/>
    <c:plotArea>
      <c:layout/>
      <c:barChart>
        <c:barDir val="col"/>
        <c:grouping val="clustered"/>
        <c:varyColors val="1"/>
        <c:ser>
          <c:idx val="0"/>
          <c:order val="0"/>
          <c:spPr>
            <a:solidFill>
              <a:srgbClr val="46BDC6"/>
            </a:solidFill>
            <a:ln cmpd="sng">
              <a:solidFill>
                <a:srgbClr val="000000"/>
              </a:solidFill>
            </a:ln>
          </c:spPr>
          <c:invertIfNegative val="1"/>
          <c:cat>
            <c:strRef>
              <c:f>'Review analysis_March'!$C$1:$I$1</c:f>
              <c:strCache>
                <c:ptCount val="7"/>
                <c:pt idx="0">
                  <c:v>Dirty Room</c:v>
                </c:pt>
                <c:pt idx="1">
                  <c:v>Staff Not Helpful</c:v>
                </c:pt>
                <c:pt idx="2">
                  <c:v>Disrespect</c:v>
                </c:pt>
                <c:pt idx="3">
                  <c:v>Dirty Toilets</c:v>
                </c:pt>
                <c:pt idx="4">
                  <c:v>Noise</c:v>
                </c:pt>
                <c:pt idx="5">
                  <c:v>Bed Bugs</c:v>
                </c:pt>
                <c:pt idx="6">
                  <c:v>Poor Facilities</c:v>
                </c:pt>
              </c:strCache>
            </c:strRef>
          </c:cat>
          <c:val>
            <c:numRef>
              <c:f>'Review analysis_March'!$C$2:$I$2</c:f>
              <c:numCache>
                <c:formatCode>General</c:formatCode>
                <c:ptCount val="7"/>
                <c:pt idx="0">
                  <c:v>5</c:v>
                </c:pt>
                <c:pt idx="1">
                  <c:v>2</c:v>
                </c:pt>
                <c:pt idx="2">
                  <c:v>1</c:v>
                </c:pt>
                <c:pt idx="3">
                  <c:v>44</c:v>
                </c:pt>
                <c:pt idx="4">
                  <c:v>17</c:v>
                </c:pt>
                <c:pt idx="5">
                  <c:v>0</c:v>
                </c:pt>
                <c:pt idx="6">
                  <c:v>38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E6EC-4273-A96F-225C7E5C596F}"/>
            </c:ext>
          </c:extLst>
        </c:ser>
        <c:dLbls>
          <c:showLegendKey val="0"/>
          <c:showVal val="0"/>
          <c:showCatName val="0"/>
          <c:showSerName val="0"/>
          <c:showPercent val="0"/>
          <c:showBubbleSize val="0"/>
        </c:dLbls>
        <c:gapWidth val="150"/>
        <c:axId val="1059867763"/>
        <c:axId val="1456775006"/>
      </c:barChart>
      <c:catAx>
        <c:axId val="1059867763"/>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rot="0"/>
          <a:lstStyle/>
          <a:p>
            <a:pPr lvl="0">
              <a:defRPr b="1">
                <a:solidFill>
                  <a:srgbClr val="FF00FF"/>
                </a:solidFill>
                <a:latin typeface="+mn-lt"/>
              </a:defRPr>
            </a:pPr>
            <a:endParaRPr lang="en-US"/>
          </a:p>
        </c:txPr>
        <c:crossAx val="1456775006"/>
        <c:crosses val="autoZero"/>
        <c:auto val="1"/>
        <c:lblAlgn val="ctr"/>
        <c:lblOffset val="100"/>
        <c:noMultiLvlLbl val="1"/>
      </c:catAx>
      <c:valAx>
        <c:axId val="14567750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059867763"/>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a:solidFill>
                  <a:srgbClr val="0000FF"/>
                </a:solidFill>
                <a:latin typeface="+mn-lt"/>
              </a:defRPr>
            </a:pPr>
            <a:r>
              <a:rPr b="1">
                <a:solidFill>
                  <a:srgbClr val="0000FF"/>
                </a:solidFill>
                <a:latin typeface="+mn-lt"/>
              </a:rPr>
              <a:t>What makes guests complain ?</a:t>
            </a:r>
          </a:p>
        </c:rich>
      </c:tx>
      <c:overlay val="0"/>
    </c:title>
    <c:autoTitleDeleted val="0"/>
    <c:plotArea>
      <c:layout/>
      <c:barChart>
        <c:barDir val="col"/>
        <c:grouping val="clustered"/>
        <c:varyColors val="1"/>
        <c:ser>
          <c:idx val="0"/>
          <c:order val="0"/>
          <c:spPr>
            <a:solidFill>
              <a:srgbClr val="46BDC6"/>
            </a:solidFill>
            <a:ln cmpd="sng">
              <a:solidFill>
                <a:srgbClr val="000000"/>
              </a:solidFill>
            </a:ln>
          </c:spPr>
          <c:invertIfNegative val="1"/>
          <c:cat>
            <c:strRef>
              <c:f>'Review analysis_April'!$C$1:$I$1</c:f>
              <c:strCache>
                <c:ptCount val="7"/>
                <c:pt idx="0">
                  <c:v>Dirty Room</c:v>
                </c:pt>
                <c:pt idx="1">
                  <c:v>Staff Not Helpful</c:v>
                </c:pt>
                <c:pt idx="2">
                  <c:v>Disrespect</c:v>
                </c:pt>
                <c:pt idx="3">
                  <c:v>Dirty Toilets</c:v>
                </c:pt>
                <c:pt idx="4">
                  <c:v>Noise</c:v>
                </c:pt>
                <c:pt idx="5">
                  <c:v>Bed Bugs</c:v>
                </c:pt>
                <c:pt idx="6">
                  <c:v>Poor Facilities</c:v>
                </c:pt>
              </c:strCache>
            </c:strRef>
          </c:cat>
          <c:val>
            <c:numRef>
              <c:f>'Review analysis_April'!$C$2:$I$2</c:f>
              <c:numCache>
                <c:formatCode>General</c:formatCode>
                <c:ptCount val="7"/>
                <c:pt idx="0">
                  <c:v>16</c:v>
                </c:pt>
                <c:pt idx="1">
                  <c:v>12</c:v>
                </c:pt>
                <c:pt idx="2">
                  <c:v>2</c:v>
                </c:pt>
                <c:pt idx="3">
                  <c:v>27</c:v>
                </c:pt>
                <c:pt idx="4">
                  <c:v>8</c:v>
                </c:pt>
                <c:pt idx="5">
                  <c:v>0</c:v>
                </c:pt>
                <c:pt idx="6">
                  <c:v>36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0CD-4559-A295-72D29A28E67E}"/>
            </c:ext>
          </c:extLst>
        </c:ser>
        <c:dLbls>
          <c:showLegendKey val="0"/>
          <c:showVal val="0"/>
          <c:showCatName val="0"/>
          <c:showSerName val="0"/>
          <c:showPercent val="0"/>
          <c:showBubbleSize val="0"/>
        </c:dLbls>
        <c:gapWidth val="150"/>
        <c:axId val="1307521103"/>
        <c:axId val="1446814864"/>
      </c:barChart>
      <c:catAx>
        <c:axId val="1307521103"/>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1" i="0">
                <a:solidFill>
                  <a:srgbClr val="FF00FF"/>
                </a:solidFill>
                <a:latin typeface="+mn-lt"/>
              </a:defRPr>
            </a:pPr>
            <a:endParaRPr lang="en-US"/>
          </a:p>
        </c:txPr>
        <c:crossAx val="1446814864"/>
        <c:crosses val="autoZero"/>
        <c:auto val="1"/>
        <c:lblAlgn val="ctr"/>
        <c:lblOffset val="100"/>
        <c:noMultiLvlLbl val="1"/>
      </c:catAx>
      <c:valAx>
        <c:axId val="1446814864"/>
        <c:scaling>
          <c:orientation val="minMax"/>
          <c:max val="5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307521103"/>
        <c:crosses val="autoZero"/>
        <c:crossBetween val="between"/>
      </c:valAx>
    </c:plotArea>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a:solidFill>
                  <a:srgbClr val="000000"/>
                </a:solidFill>
                <a:latin typeface="+mn-lt"/>
              </a:defRPr>
            </a:pPr>
            <a:r>
              <a:rPr b="1">
                <a:solidFill>
                  <a:srgbClr val="000000"/>
                </a:solidFill>
                <a:latin typeface="+mn-lt"/>
              </a:rPr>
              <a:t>From March to April</a:t>
            </a:r>
          </a:p>
        </c:rich>
      </c:tx>
      <c:overlay val="0"/>
    </c:title>
    <c:autoTitleDeleted val="0"/>
    <c:plotArea>
      <c:layout/>
      <c:barChart>
        <c:barDir val="col"/>
        <c:grouping val="clustered"/>
        <c:varyColors val="1"/>
        <c:ser>
          <c:idx val="0"/>
          <c:order val="0"/>
          <c:spPr>
            <a:solidFill>
              <a:srgbClr val="93C47D"/>
            </a:solidFill>
            <a:ln cmpd="sng">
              <a:solidFill>
                <a:srgbClr val="000000"/>
              </a:solidFill>
            </a:ln>
          </c:spPr>
          <c:invertIfNegative val="1"/>
          <c:cat>
            <c:strRef>
              <c:f>'Review analysis_April'!$K$25:$Q$25</c:f>
              <c:strCache>
                <c:ptCount val="7"/>
                <c:pt idx="0">
                  <c:v>Dirty Room</c:v>
                </c:pt>
                <c:pt idx="1">
                  <c:v>Staff Not Helpful</c:v>
                </c:pt>
                <c:pt idx="2">
                  <c:v>Disrespect</c:v>
                </c:pt>
                <c:pt idx="3">
                  <c:v>Dirty Toilets</c:v>
                </c:pt>
                <c:pt idx="4">
                  <c:v>Noise</c:v>
                </c:pt>
                <c:pt idx="5">
                  <c:v>Bed Bugs</c:v>
                </c:pt>
                <c:pt idx="6">
                  <c:v>Poor Facilities</c:v>
                </c:pt>
              </c:strCache>
            </c:strRef>
          </c:cat>
          <c:val>
            <c:numRef>
              <c:f>'Review analysis_April'!$K$26:$Q$26</c:f>
              <c:numCache>
                <c:formatCode>General</c:formatCode>
                <c:ptCount val="7"/>
                <c:pt idx="0">
                  <c:v>5</c:v>
                </c:pt>
                <c:pt idx="1">
                  <c:v>2</c:v>
                </c:pt>
                <c:pt idx="2">
                  <c:v>1</c:v>
                </c:pt>
                <c:pt idx="3">
                  <c:v>44</c:v>
                </c:pt>
                <c:pt idx="4">
                  <c:v>17</c:v>
                </c:pt>
                <c:pt idx="5">
                  <c:v>0</c:v>
                </c:pt>
                <c:pt idx="6">
                  <c:v>38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6FB-4545-B1D0-898B5045A04F}"/>
            </c:ext>
          </c:extLst>
        </c:ser>
        <c:ser>
          <c:idx val="1"/>
          <c:order val="1"/>
          <c:spPr>
            <a:solidFill>
              <a:srgbClr val="38761D"/>
            </a:solidFill>
            <a:ln cmpd="sng">
              <a:solidFill>
                <a:srgbClr val="000000"/>
              </a:solidFill>
            </a:ln>
          </c:spPr>
          <c:invertIfNegative val="1"/>
          <c:cat>
            <c:strRef>
              <c:f>'Review analysis_April'!$K$25:$Q$25</c:f>
              <c:strCache>
                <c:ptCount val="7"/>
                <c:pt idx="0">
                  <c:v>Dirty Room</c:v>
                </c:pt>
                <c:pt idx="1">
                  <c:v>Staff Not Helpful</c:v>
                </c:pt>
                <c:pt idx="2">
                  <c:v>Disrespect</c:v>
                </c:pt>
                <c:pt idx="3">
                  <c:v>Dirty Toilets</c:v>
                </c:pt>
                <c:pt idx="4">
                  <c:v>Noise</c:v>
                </c:pt>
                <c:pt idx="5">
                  <c:v>Bed Bugs</c:v>
                </c:pt>
                <c:pt idx="6">
                  <c:v>Poor Facilities</c:v>
                </c:pt>
              </c:strCache>
            </c:strRef>
          </c:cat>
          <c:val>
            <c:numRef>
              <c:f>'Review analysis_April'!$K$27:$Q$27</c:f>
              <c:numCache>
                <c:formatCode>General</c:formatCode>
                <c:ptCount val="7"/>
                <c:pt idx="0">
                  <c:v>16</c:v>
                </c:pt>
                <c:pt idx="1">
                  <c:v>12</c:v>
                </c:pt>
                <c:pt idx="2">
                  <c:v>2</c:v>
                </c:pt>
                <c:pt idx="3">
                  <c:v>27</c:v>
                </c:pt>
                <c:pt idx="4">
                  <c:v>8</c:v>
                </c:pt>
                <c:pt idx="5">
                  <c:v>0</c:v>
                </c:pt>
                <c:pt idx="6">
                  <c:v>36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96FB-4545-B1D0-898B5045A04F}"/>
            </c:ext>
          </c:extLst>
        </c:ser>
        <c:dLbls>
          <c:showLegendKey val="0"/>
          <c:showVal val="0"/>
          <c:showCatName val="0"/>
          <c:showSerName val="0"/>
          <c:showPercent val="0"/>
          <c:showBubbleSize val="0"/>
        </c:dLbls>
        <c:gapWidth val="150"/>
        <c:axId val="39394159"/>
        <c:axId val="1525206645"/>
      </c:barChart>
      <c:catAx>
        <c:axId val="39394159"/>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1">
                <a:solidFill>
                  <a:srgbClr val="000000"/>
                </a:solidFill>
                <a:latin typeface="+mn-lt"/>
              </a:defRPr>
            </a:pPr>
            <a:endParaRPr lang="en-US"/>
          </a:p>
        </c:txPr>
        <c:crossAx val="1525206645"/>
        <c:crosses val="autoZero"/>
        <c:auto val="1"/>
        <c:lblAlgn val="ctr"/>
        <c:lblOffset val="100"/>
        <c:noMultiLvlLbl val="1"/>
      </c:catAx>
      <c:valAx>
        <c:axId val="152520664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39394159"/>
        <c:crosses val="autoZero"/>
        <c:crossBetween val="between"/>
      </c:valAx>
    </c:plotArea>
    <c:legend>
      <c:legendPos val="r"/>
      <c:overlay val="0"/>
      <c:txPr>
        <a:bodyPr/>
        <a:lstStyle/>
        <a:p>
          <a:pPr lvl="0">
            <a:defRPr b="1">
              <a:solidFill>
                <a:srgbClr val="1A1A1A"/>
              </a:solidFill>
              <a:latin typeface="+mn-lt"/>
            </a:defRPr>
          </a:pPr>
          <a:endParaRPr lang="en-US"/>
        </a:p>
      </c:txPr>
    </c:legend>
    <c:plotVisOnly val="1"/>
    <c:dispBlanksAs val="zero"/>
    <c:showDLblsOverMax val="1"/>
  </c:chart>
  <c:spPr>
    <a:solidFill>
      <a:srgbClr val="EFEFEF"/>
    </a:solidFill>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a:solidFill>
                  <a:srgbClr val="000000"/>
                </a:solidFill>
                <a:latin typeface="+mn-lt"/>
              </a:defRPr>
            </a:pPr>
            <a:r>
              <a:rPr b="1">
                <a:solidFill>
                  <a:srgbClr val="000000"/>
                </a:solidFill>
                <a:latin typeface="+mn-lt"/>
              </a:rPr>
              <a:t>Σ of negative reviews by category</a:t>
            </a:r>
          </a:p>
        </c:rich>
      </c:tx>
      <c:overlay val="0"/>
    </c:title>
    <c:autoTitleDeleted val="0"/>
    <c:plotArea>
      <c:layout/>
      <c:pieChart>
        <c:varyColors val="1"/>
        <c:ser>
          <c:idx val="0"/>
          <c:order val="0"/>
          <c:tx>
            <c:strRef>
              <c:f>'Significant statistics for May'!$A$3</c:f>
              <c:strCache>
                <c:ptCount val="1"/>
                <c:pt idx="0">
                  <c:v>Σ of negative reviews</c:v>
                </c:pt>
              </c:strCache>
            </c:strRef>
          </c:tx>
          <c:dPt>
            <c:idx val="0"/>
            <c:bubble3D val="0"/>
            <c:spPr>
              <a:solidFill>
                <a:srgbClr val="4285F4"/>
              </a:solidFill>
            </c:spPr>
            <c:extLst>
              <c:ext xmlns:c16="http://schemas.microsoft.com/office/drawing/2014/chart" uri="{C3380CC4-5D6E-409C-BE32-E72D297353CC}">
                <c16:uniqueId val="{00000001-7AB3-447E-80E8-94ED5C1A1CBA}"/>
              </c:ext>
            </c:extLst>
          </c:dPt>
          <c:cat>
            <c:strRef>
              <c:f>'Significant statistics for May'!$B$2:$H$2</c:f>
              <c:strCache>
                <c:ptCount val="7"/>
                <c:pt idx="0">
                  <c:v>Overall Rating</c:v>
                </c:pt>
                <c:pt idx="1">
                  <c:v>Staff</c:v>
                </c:pt>
                <c:pt idx="2">
                  <c:v>Cleanliness</c:v>
                </c:pt>
                <c:pt idx="3">
                  <c:v>Location</c:v>
                </c:pt>
                <c:pt idx="4">
                  <c:v>Facilities</c:v>
                </c:pt>
                <c:pt idx="5">
                  <c:v>Comfort</c:v>
                </c:pt>
                <c:pt idx="6">
                  <c:v>Value for Money</c:v>
                </c:pt>
              </c:strCache>
            </c:strRef>
          </c:cat>
          <c:val>
            <c:numRef>
              <c:f>'Significant statistics for May'!$B$3:$H$3</c:f>
              <c:numCache>
                <c:formatCode>General</c:formatCode>
                <c:ptCount val="7"/>
                <c:pt idx="0">
                  <c:v>59</c:v>
                </c:pt>
                <c:pt idx="1">
                  <c:v>34</c:v>
                </c:pt>
                <c:pt idx="2">
                  <c:v>87</c:v>
                </c:pt>
                <c:pt idx="3">
                  <c:v>17</c:v>
                </c:pt>
                <c:pt idx="4">
                  <c:v>85</c:v>
                </c:pt>
                <c:pt idx="5">
                  <c:v>70</c:v>
                </c:pt>
                <c:pt idx="6">
                  <c:v>64</c:v>
                </c:pt>
              </c:numCache>
            </c:numRef>
          </c:val>
          <c:extLst>
            <c:ext xmlns:c16="http://schemas.microsoft.com/office/drawing/2014/chart" uri="{C3380CC4-5D6E-409C-BE32-E72D297353CC}">
              <c16:uniqueId val="{00000002-7AB3-447E-80E8-94ED5C1A1CBA}"/>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a:solidFill>
                  <a:srgbClr val="0000FF"/>
                </a:solidFill>
                <a:latin typeface="+mn-lt"/>
              </a:defRPr>
            </a:pPr>
            <a:r>
              <a:rPr b="1">
                <a:solidFill>
                  <a:srgbClr val="0000FF"/>
                </a:solidFill>
                <a:latin typeface="+mn-lt"/>
              </a:rPr>
              <a:t>What makes guests complain ?</a:t>
            </a:r>
          </a:p>
        </c:rich>
      </c:tx>
      <c:overlay val="0"/>
    </c:title>
    <c:autoTitleDeleted val="0"/>
    <c:plotArea>
      <c:layout/>
      <c:barChart>
        <c:barDir val="col"/>
        <c:grouping val="clustered"/>
        <c:varyColors val="1"/>
        <c:ser>
          <c:idx val="0"/>
          <c:order val="0"/>
          <c:spPr>
            <a:solidFill>
              <a:srgbClr val="46BDC6"/>
            </a:solidFill>
            <a:ln cmpd="sng">
              <a:solidFill>
                <a:srgbClr val="000000"/>
              </a:solidFill>
            </a:ln>
          </c:spPr>
          <c:invertIfNegative val="1"/>
          <c:cat>
            <c:strRef>
              <c:f>'Review analysis_May'!$C$1:$I$1</c:f>
              <c:strCache>
                <c:ptCount val="7"/>
                <c:pt idx="0">
                  <c:v>Dirty Room</c:v>
                </c:pt>
                <c:pt idx="1">
                  <c:v>Staff Not Helpful</c:v>
                </c:pt>
                <c:pt idx="2">
                  <c:v>Disrespect</c:v>
                </c:pt>
                <c:pt idx="3">
                  <c:v>Dirty Toilets</c:v>
                </c:pt>
                <c:pt idx="4">
                  <c:v>Noise</c:v>
                </c:pt>
                <c:pt idx="5">
                  <c:v>Bed Bugs</c:v>
                </c:pt>
                <c:pt idx="6">
                  <c:v>Poor Facilities</c:v>
                </c:pt>
              </c:strCache>
            </c:strRef>
          </c:cat>
          <c:val>
            <c:numRef>
              <c:f>'Review analysis_May'!$C$2:$I$2</c:f>
              <c:numCache>
                <c:formatCode>General</c:formatCode>
                <c:ptCount val="7"/>
                <c:pt idx="0">
                  <c:v>23</c:v>
                </c:pt>
                <c:pt idx="1">
                  <c:v>15</c:v>
                </c:pt>
                <c:pt idx="2">
                  <c:v>5</c:v>
                </c:pt>
                <c:pt idx="3">
                  <c:v>33</c:v>
                </c:pt>
                <c:pt idx="4">
                  <c:v>21</c:v>
                </c:pt>
                <c:pt idx="5">
                  <c:v>0</c:v>
                </c:pt>
                <c:pt idx="6">
                  <c:v>52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8EA-4850-A0DB-5A2245BFC849}"/>
            </c:ext>
          </c:extLst>
        </c:ser>
        <c:dLbls>
          <c:showLegendKey val="0"/>
          <c:showVal val="0"/>
          <c:showCatName val="0"/>
          <c:showSerName val="0"/>
          <c:showPercent val="0"/>
          <c:showBubbleSize val="0"/>
        </c:dLbls>
        <c:gapWidth val="150"/>
        <c:axId val="1105081245"/>
        <c:axId val="1116248384"/>
      </c:barChart>
      <c:catAx>
        <c:axId val="1105081245"/>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1">
                <a:solidFill>
                  <a:srgbClr val="FF00FF"/>
                </a:solidFill>
                <a:latin typeface="+mn-lt"/>
              </a:defRPr>
            </a:pPr>
            <a:endParaRPr lang="en-US"/>
          </a:p>
        </c:txPr>
        <c:crossAx val="1116248384"/>
        <c:crosses val="autoZero"/>
        <c:auto val="1"/>
        <c:lblAlgn val="ctr"/>
        <c:lblOffset val="100"/>
        <c:noMultiLvlLbl val="1"/>
      </c:catAx>
      <c:valAx>
        <c:axId val="111624838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105081245"/>
        <c:crosses val="autoZero"/>
        <c:crossBetween val="between"/>
      </c:valAx>
    </c:plotArea>
    <c:legend>
      <c:legendPos val="r"/>
      <c:overlay val="0"/>
      <c:txPr>
        <a:bodyPr/>
        <a:lstStyle/>
        <a:p>
          <a:pPr lvl="0">
            <a:defRPr b="1" i="1">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a:solidFill>
                  <a:srgbClr val="000000"/>
                </a:solidFill>
                <a:latin typeface="+mn-lt"/>
              </a:defRPr>
            </a:pPr>
            <a:r>
              <a:rPr b="1">
                <a:solidFill>
                  <a:srgbClr val="000000"/>
                </a:solidFill>
                <a:latin typeface="+mn-lt"/>
              </a:rPr>
              <a:t>From April to May</a:t>
            </a:r>
          </a:p>
        </c:rich>
      </c:tx>
      <c:overlay val="0"/>
    </c:title>
    <c:autoTitleDeleted val="0"/>
    <c:plotArea>
      <c:layout/>
      <c:barChart>
        <c:barDir val="col"/>
        <c:grouping val="clustered"/>
        <c:varyColors val="1"/>
        <c:ser>
          <c:idx val="0"/>
          <c:order val="0"/>
          <c:spPr>
            <a:solidFill>
              <a:srgbClr val="93C47D"/>
            </a:solidFill>
            <a:ln cmpd="sng">
              <a:solidFill>
                <a:srgbClr val="000000"/>
              </a:solidFill>
            </a:ln>
          </c:spPr>
          <c:invertIfNegative val="1"/>
          <c:cat>
            <c:strRef>
              <c:f>'Review analysis_May'!$K$28:$Q$28</c:f>
              <c:strCache>
                <c:ptCount val="7"/>
                <c:pt idx="0">
                  <c:v>Dirty Room</c:v>
                </c:pt>
                <c:pt idx="1">
                  <c:v>Staff Not Helpful</c:v>
                </c:pt>
                <c:pt idx="2">
                  <c:v>Disrespect</c:v>
                </c:pt>
                <c:pt idx="3">
                  <c:v>Dirty Toilets</c:v>
                </c:pt>
                <c:pt idx="4">
                  <c:v>Noise</c:v>
                </c:pt>
                <c:pt idx="5">
                  <c:v>Bed Bugs</c:v>
                </c:pt>
                <c:pt idx="6">
                  <c:v>Poor Facilities</c:v>
                </c:pt>
              </c:strCache>
            </c:strRef>
          </c:cat>
          <c:val>
            <c:numRef>
              <c:f>'Review analysis_May'!$K$29:$Q$29</c:f>
              <c:numCache>
                <c:formatCode>General</c:formatCode>
                <c:ptCount val="7"/>
                <c:pt idx="0">
                  <c:v>16</c:v>
                </c:pt>
                <c:pt idx="1">
                  <c:v>12</c:v>
                </c:pt>
                <c:pt idx="2">
                  <c:v>2</c:v>
                </c:pt>
                <c:pt idx="3">
                  <c:v>27</c:v>
                </c:pt>
                <c:pt idx="4">
                  <c:v>8</c:v>
                </c:pt>
                <c:pt idx="5">
                  <c:v>0</c:v>
                </c:pt>
                <c:pt idx="6">
                  <c:v>36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3F6-48E1-937D-228537B36FBC}"/>
            </c:ext>
          </c:extLst>
        </c:ser>
        <c:ser>
          <c:idx val="1"/>
          <c:order val="1"/>
          <c:spPr>
            <a:solidFill>
              <a:srgbClr val="38761D"/>
            </a:solidFill>
            <a:ln cmpd="sng">
              <a:solidFill>
                <a:srgbClr val="000000"/>
              </a:solidFill>
            </a:ln>
          </c:spPr>
          <c:invertIfNegative val="1"/>
          <c:cat>
            <c:strRef>
              <c:f>'Review analysis_May'!$K$28:$Q$28</c:f>
              <c:strCache>
                <c:ptCount val="7"/>
                <c:pt idx="0">
                  <c:v>Dirty Room</c:v>
                </c:pt>
                <c:pt idx="1">
                  <c:v>Staff Not Helpful</c:v>
                </c:pt>
                <c:pt idx="2">
                  <c:v>Disrespect</c:v>
                </c:pt>
                <c:pt idx="3">
                  <c:v>Dirty Toilets</c:v>
                </c:pt>
                <c:pt idx="4">
                  <c:v>Noise</c:v>
                </c:pt>
                <c:pt idx="5">
                  <c:v>Bed Bugs</c:v>
                </c:pt>
                <c:pt idx="6">
                  <c:v>Poor Facilities</c:v>
                </c:pt>
              </c:strCache>
            </c:strRef>
          </c:cat>
          <c:val>
            <c:numRef>
              <c:f>'Review analysis_May'!$K$30:$Q$30</c:f>
              <c:numCache>
                <c:formatCode>General</c:formatCode>
                <c:ptCount val="7"/>
                <c:pt idx="0">
                  <c:v>23</c:v>
                </c:pt>
                <c:pt idx="1">
                  <c:v>15</c:v>
                </c:pt>
                <c:pt idx="2">
                  <c:v>5</c:v>
                </c:pt>
                <c:pt idx="3">
                  <c:v>33</c:v>
                </c:pt>
                <c:pt idx="4">
                  <c:v>21</c:v>
                </c:pt>
                <c:pt idx="5">
                  <c:v>0</c:v>
                </c:pt>
                <c:pt idx="6">
                  <c:v>52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3F6-48E1-937D-228537B36FBC}"/>
            </c:ext>
          </c:extLst>
        </c:ser>
        <c:dLbls>
          <c:showLegendKey val="0"/>
          <c:showVal val="0"/>
          <c:showCatName val="0"/>
          <c:showSerName val="0"/>
          <c:showPercent val="0"/>
          <c:showBubbleSize val="0"/>
        </c:dLbls>
        <c:gapWidth val="150"/>
        <c:axId val="1329209333"/>
        <c:axId val="203811543"/>
      </c:barChart>
      <c:catAx>
        <c:axId val="1329209333"/>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1">
                <a:solidFill>
                  <a:srgbClr val="000000"/>
                </a:solidFill>
                <a:latin typeface="+mn-lt"/>
              </a:defRPr>
            </a:pPr>
            <a:endParaRPr lang="en-US"/>
          </a:p>
        </c:txPr>
        <c:crossAx val="203811543"/>
        <c:crosses val="autoZero"/>
        <c:auto val="1"/>
        <c:lblAlgn val="ctr"/>
        <c:lblOffset val="100"/>
        <c:noMultiLvlLbl val="1"/>
      </c:catAx>
      <c:valAx>
        <c:axId val="20381154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329209333"/>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spPr>
    <a:solidFill>
      <a:srgbClr val="EFEFEF"/>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oneCellAnchor>
    <xdr:from>
      <xdr:col>9</xdr:col>
      <xdr:colOff>942975</xdr:colOff>
      <xdr:row>3</xdr:row>
      <xdr:rowOff>171450</xdr:rowOff>
    </xdr:from>
    <xdr:ext cx="5715000" cy="3533775"/>
    <xdr:graphicFrame macro="">
      <xdr:nvGraphicFramePr>
        <xdr:cNvPr id="2" name="Chart 1" title="Chart">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942975</xdr:colOff>
      <xdr:row>1</xdr:row>
      <xdr:rowOff>190500</xdr:rowOff>
    </xdr:from>
    <xdr:ext cx="5715000" cy="3533775"/>
    <xdr:graphicFrame macro="">
      <xdr:nvGraphicFramePr>
        <xdr:cNvPr id="2" name="Chart 2" title="Chart">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9</xdr:col>
      <xdr:colOff>942975</xdr:colOff>
      <xdr:row>27</xdr:row>
      <xdr:rowOff>9525</xdr:rowOff>
    </xdr:from>
    <xdr:ext cx="5791200" cy="3581400"/>
    <xdr:graphicFrame macro="">
      <xdr:nvGraphicFramePr>
        <xdr:cNvPr id="3" name="Chart 3" title="Chart">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3</xdr:col>
      <xdr:colOff>762000</xdr:colOff>
      <xdr:row>6</xdr:row>
      <xdr:rowOff>66675</xdr:rowOff>
    </xdr:from>
    <xdr:ext cx="5715000" cy="3533775"/>
    <xdr:graphicFrame macro="">
      <xdr:nvGraphicFramePr>
        <xdr:cNvPr id="4" name="Chart 4" title="Chart">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oneCellAnchor>
    <xdr:from>
      <xdr:col>10</xdr:col>
      <xdr:colOff>190500</xdr:colOff>
      <xdr:row>6</xdr:row>
      <xdr:rowOff>19050</xdr:rowOff>
    </xdr:from>
    <xdr:ext cx="5715000" cy="3533775"/>
    <xdr:graphicFrame macro="">
      <xdr:nvGraphicFramePr>
        <xdr:cNvPr id="5" name="Chart 5" title="Chart">
          <a:extLst>
            <a:ext uri="{FF2B5EF4-FFF2-40B4-BE49-F238E27FC236}">
              <a16:creationId xmlns:a16="http://schemas.microsoft.com/office/drawing/2014/main" id="{00000000-0008-0000-08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9</xdr:col>
      <xdr:colOff>952500</xdr:colOff>
      <xdr:row>30</xdr:row>
      <xdr:rowOff>9525</xdr:rowOff>
    </xdr:from>
    <xdr:ext cx="5715000" cy="3533775"/>
    <xdr:graphicFrame macro="">
      <xdr:nvGraphicFramePr>
        <xdr:cNvPr id="6" name="Chart 6" title="Chart">
          <a:extLst>
            <a:ext uri="{FF2B5EF4-FFF2-40B4-BE49-F238E27FC236}">
              <a16:creationId xmlns:a16="http://schemas.microsoft.com/office/drawing/2014/main" id="{00000000-0008-0000-08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7"/>
  <sheetViews>
    <sheetView workbookViewId="0">
      <selection sqref="A1:C1"/>
    </sheetView>
  </sheetViews>
  <sheetFormatPr defaultColWidth="12.5703125" defaultRowHeight="15.75" customHeight="1"/>
  <cols>
    <col min="3" max="3" width="23.85546875" customWidth="1"/>
  </cols>
  <sheetData>
    <row r="1" spans="1:3" ht="13.5">
      <c r="A1" s="70" t="s">
        <v>0</v>
      </c>
      <c r="B1" s="71"/>
      <c r="C1" s="71"/>
    </row>
    <row r="6" spans="1:3" ht="30.75" customHeight="1">
      <c r="B6" s="1"/>
      <c r="C6" s="2" t="s">
        <v>1</v>
      </c>
    </row>
    <row r="7" spans="1:3" ht="32.25" customHeight="1">
      <c r="B7" s="3"/>
      <c r="C7" s="4" t="s">
        <v>2</v>
      </c>
    </row>
  </sheetData>
  <mergeCells count="1">
    <mergeCell ref="A1:C1"/>
  </mergeCells>
  <pageMargins left="0.7" right="0.7" top="0.75" bottom="0.75" header="0.3" footer="0.3"/>
  <headerFooter>
    <oddFooter>&amp;L_x000D_&amp;1#&amp;"Aptos"&amp;10&amp;K000000 Public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49"/>
  <sheetViews>
    <sheetView workbookViewId="0"/>
  </sheetViews>
  <sheetFormatPr defaultColWidth="12.5703125" defaultRowHeight="15.75" customHeight="1"/>
  <sheetData>
    <row r="1" spans="1:16" ht="15.75" customHeight="1">
      <c r="A1" s="5" t="s">
        <v>3</v>
      </c>
      <c r="B1" s="6" t="s">
        <v>4</v>
      </c>
      <c r="C1" s="5" t="s">
        <v>5</v>
      </c>
      <c r="D1" s="5" t="s">
        <v>6</v>
      </c>
      <c r="E1" s="5" t="s">
        <v>7</v>
      </c>
      <c r="F1" s="7" t="s">
        <v>8</v>
      </c>
      <c r="G1" s="7" t="s">
        <v>9</v>
      </c>
      <c r="H1" s="7" t="s">
        <v>10</v>
      </c>
      <c r="I1" s="7" t="s">
        <v>11</v>
      </c>
      <c r="J1" s="7" t="s">
        <v>12</v>
      </c>
      <c r="K1" s="7" t="s">
        <v>13</v>
      </c>
      <c r="L1" s="7" t="s">
        <v>14</v>
      </c>
      <c r="M1" s="5" t="s">
        <v>15</v>
      </c>
      <c r="N1" s="5" t="s">
        <v>16</v>
      </c>
      <c r="O1" s="5" t="s">
        <v>17</v>
      </c>
      <c r="P1" s="8"/>
    </row>
    <row r="2" spans="1:16">
      <c r="A2" s="8" t="s">
        <v>18</v>
      </c>
      <c r="B2" s="9">
        <v>45355</v>
      </c>
      <c r="C2" s="8" t="s">
        <v>19</v>
      </c>
      <c r="D2" s="8" t="s">
        <v>20</v>
      </c>
      <c r="E2" s="8">
        <v>4013319734</v>
      </c>
      <c r="F2" s="8">
        <v>8</v>
      </c>
      <c r="G2" s="8">
        <v>10</v>
      </c>
      <c r="H2" s="8">
        <v>7.5</v>
      </c>
      <c r="I2" s="8">
        <v>10</v>
      </c>
      <c r="J2" s="8">
        <v>7.5</v>
      </c>
      <c r="K2" s="8">
        <v>7.5</v>
      </c>
      <c r="L2" s="8">
        <v>10</v>
      </c>
      <c r="M2" s="8" t="s">
        <v>21</v>
      </c>
      <c r="N2" s="8" t="s">
        <v>22</v>
      </c>
      <c r="O2" s="8" t="s">
        <v>23</v>
      </c>
      <c r="P2" s="8"/>
    </row>
    <row r="3" spans="1:16">
      <c r="A3" s="8" t="s">
        <v>18</v>
      </c>
      <c r="B3" s="9">
        <v>45354</v>
      </c>
      <c r="C3" s="8" t="s">
        <v>24</v>
      </c>
      <c r="D3" s="8" t="s">
        <v>25</v>
      </c>
      <c r="E3" s="8">
        <v>4138169870</v>
      </c>
      <c r="F3" s="8">
        <v>7</v>
      </c>
      <c r="G3" s="8">
        <v>10</v>
      </c>
      <c r="H3" s="8">
        <v>7.5</v>
      </c>
      <c r="I3" s="8">
        <v>10</v>
      </c>
      <c r="J3" s="8">
        <v>7.5</v>
      </c>
      <c r="K3" s="8">
        <v>7.5</v>
      </c>
      <c r="L3" s="8">
        <v>7.5</v>
      </c>
      <c r="M3" s="8"/>
      <c r="N3" s="8"/>
      <c r="O3" s="8" t="s">
        <v>26</v>
      </c>
      <c r="P3" s="8"/>
    </row>
    <row r="4" spans="1:16">
      <c r="A4" s="8" t="s">
        <v>18</v>
      </c>
      <c r="B4" s="9">
        <v>45354</v>
      </c>
      <c r="C4" s="8" t="s">
        <v>27</v>
      </c>
      <c r="D4" s="8" t="s">
        <v>28</v>
      </c>
      <c r="E4" s="8">
        <v>4261247241</v>
      </c>
      <c r="F4" s="8">
        <v>8</v>
      </c>
      <c r="G4" s="8">
        <v>7.5</v>
      </c>
      <c r="H4" s="8">
        <v>10</v>
      </c>
      <c r="I4" s="8">
        <v>10</v>
      </c>
      <c r="J4" s="8">
        <v>7.5</v>
      </c>
      <c r="K4" s="8">
        <v>7.5</v>
      </c>
      <c r="L4" s="8">
        <v>7.5</v>
      </c>
      <c r="M4" s="8" t="s">
        <v>29</v>
      </c>
      <c r="N4" s="8" t="s">
        <v>30</v>
      </c>
      <c r="O4" s="8" t="s">
        <v>31</v>
      </c>
      <c r="P4" s="8"/>
    </row>
    <row r="5" spans="1:16">
      <c r="A5" s="8" t="s">
        <v>18</v>
      </c>
      <c r="B5" s="9">
        <v>45354</v>
      </c>
      <c r="C5" s="8" t="s">
        <v>32</v>
      </c>
      <c r="D5" s="8" t="s">
        <v>33</v>
      </c>
      <c r="E5" s="8">
        <v>4252066412</v>
      </c>
      <c r="F5" s="8">
        <v>8</v>
      </c>
      <c r="G5" s="8">
        <v>5</v>
      </c>
      <c r="H5" s="8">
        <v>5</v>
      </c>
      <c r="I5" s="8">
        <v>10</v>
      </c>
      <c r="J5" s="8">
        <v>10</v>
      </c>
      <c r="K5" s="8">
        <v>7.5</v>
      </c>
      <c r="L5" s="8">
        <v>7.5</v>
      </c>
      <c r="M5" s="8"/>
      <c r="N5" s="8"/>
      <c r="O5" s="8" t="s">
        <v>34</v>
      </c>
      <c r="P5" s="8"/>
    </row>
    <row r="6" spans="1:16">
      <c r="A6" s="8" t="s">
        <v>18</v>
      </c>
      <c r="B6" s="9">
        <v>45354</v>
      </c>
      <c r="C6" s="8" t="s">
        <v>35</v>
      </c>
      <c r="D6" s="8" t="s">
        <v>36</v>
      </c>
      <c r="E6" s="8">
        <v>4240480998</v>
      </c>
      <c r="F6" s="8">
        <v>8</v>
      </c>
      <c r="G6" s="8">
        <v>10</v>
      </c>
      <c r="H6" s="8">
        <v>10</v>
      </c>
      <c r="I6" s="8">
        <v>10</v>
      </c>
      <c r="J6" s="8">
        <v>10</v>
      </c>
      <c r="K6" s="8">
        <v>10</v>
      </c>
      <c r="L6" s="8">
        <v>10</v>
      </c>
      <c r="M6" s="8"/>
      <c r="N6" s="8"/>
      <c r="O6" s="8"/>
      <c r="P6" s="8"/>
    </row>
    <row r="7" spans="1:16">
      <c r="A7" s="8" t="s">
        <v>18</v>
      </c>
      <c r="B7" s="9">
        <v>45354</v>
      </c>
      <c r="C7" s="8" t="s">
        <v>37</v>
      </c>
      <c r="D7" s="8" t="s">
        <v>38</v>
      </c>
      <c r="E7" s="8">
        <v>4185306179</v>
      </c>
      <c r="F7" s="8">
        <v>8</v>
      </c>
      <c r="G7" s="8">
        <v>7.5</v>
      </c>
      <c r="H7" s="8">
        <v>7.5</v>
      </c>
      <c r="I7" s="8">
        <v>10</v>
      </c>
      <c r="J7" s="8">
        <v>5</v>
      </c>
      <c r="K7" s="8">
        <v>7.5</v>
      </c>
      <c r="L7" s="8">
        <v>10</v>
      </c>
      <c r="M7" s="8" t="s">
        <v>39</v>
      </c>
      <c r="N7" s="8" t="s">
        <v>40</v>
      </c>
      <c r="O7" s="8" t="s">
        <v>41</v>
      </c>
      <c r="P7" s="8"/>
    </row>
    <row r="8" spans="1:16">
      <c r="A8" s="8" t="s">
        <v>18</v>
      </c>
      <c r="B8" s="9">
        <v>45354</v>
      </c>
      <c r="C8" s="8" t="s">
        <v>42</v>
      </c>
      <c r="D8" s="8" t="s">
        <v>43</v>
      </c>
      <c r="E8" s="8">
        <v>4037021730</v>
      </c>
      <c r="F8" s="8">
        <v>9</v>
      </c>
      <c r="G8" s="8">
        <v>10</v>
      </c>
      <c r="H8" s="8">
        <v>7.5</v>
      </c>
      <c r="I8" s="8">
        <v>7.5</v>
      </c>
      <c r="J8" s="8">
        <v>7.5</v>
      </c>
      <c r="K8" s="8">
        <v>10</v>
      </c>
      <c r="L8" s="8">
        <v>10</v>
      </c>
      <c r="M8" s="8"/>
      <c r="N8" s="8"/>
      <c r="O8" s="8"/>
      <c r="P8" s="8"/>
    </row>
    <row r="9" spans="1:16">
      <c r="A9" s="8" t="s">
        <v>18</v>
      </c>
      <c r="B9" s="9">
        <v>45354</v>
      </c>
      <c r="C9" s="8" t="s">
        <v>44</v>
      </c>
      <c r="D9" s="8" t="s">
        <v>45</v>
      </c>
      <c r="E9" s="8">
        <v>4068608823</v>
      </c>
      <c r="F9" s="8">
        <v>7</v>
      </c>
      <c r="G9" s="8">
        <v>7.5</v>
      </c>
      <c r="H9" s="8">
        <v>7.5</v>
      </c>
      <c r="I9" s="8">
        <v>10</v>
      </c>
      <c r="J9" s="8">
        <v>7.5</v>
      </c>
      <c r="K9" s="8">
        <v>7.5</v>
      </c>
      <c r="L9" s="8">
        <v>7.5</v>
      </c>
      <c r="M9" s="8" t="s">
        <v>46</v>
      </c>
      <c r="N9" s="8" t="s">
        <v>47</v>
      </c>
      <c r="O9" s="8"/>
      <c r="P9" s="8"/>
    </row>
    <row r="10" spans="1:16">
      <c r="A10" s="8" t="s">
        <v>18</v>
      </c>
      <c r="B10" s="9">
        <v>45353</v>
      </c>
      <c r="C10" s="8" t="s">
        <v>48</v>
      </c>
      <c r="D10" s="8" t="s">
        <v>36</v>
      </c>
      <c r="E10" s="8">
        <v>4017863835</v>
      </c>
      <c r="F10" s="8">
        <v>10</v>
      </c>
      <c r="G10" s="8">
        <v>10</v>
      </c>
      <c r="H10" s="8">
        <v>5</v>
      </c>
      <c r="I10" s="8">
        <v>10</v>
      </c>
      <c r="J10" s="8">
        <v>5</v>
      </c>
      <c r="K10" s="8">
        <v>7.5</v>
      </c>
      <c r="L10" s="8">
        <v>10</v>
      </c>
      <c r="M10" s="8"/>
      <c r="N10" s="8"/>
      <c r="O10" s="8"/>
      <c r="P10" s="8"/>
    </row>
    <row r="11" spans="1:16">
      <c r="A11" s="8" t="s">
        <v>18</v>
      </c>
      <c r="B11" s="9">
        <v>45352</v>
      </c>
      <c r="C11" s="8" t="s">
        <v>49</v>
      </c>
      <c r="D11" s="8" t="s">
        <v>25</v>
      </c>
      <c r="E11" s="8">
        <v>4205522315</v>
      </c>
      <c r="F11" s="8">
        <v>7</v>
      </c>
      <c r="G11" s="8">
        <v>10</v>
      </c>
      <c r="H11" s="8">
        <v>5</v>
      </c>
      <c r="I11" s="8">
        <v>10</v>
      </c>
      <c r="J11" s="8">
        <v>10</v>
      </c>
      <c r="K11" s="8">
        <v>10</v>
      </c>
      <c r="L11" s="8">
        <v>7.5</v>
      </c>
      <c r="M11" s="8" t="s">
        <v>50</v>
      </c>
      <c r="N11" s="8" t="s">
        <v>51</v>
      </c>
      <c r="O11" s="8" t="s">
        <v>52</v>
      </c>
      <c r="P11" s="8"/>
    </row>
    <row r="12" spans="1:16">
      <c r="A12" s="8" t="s">
        <v>18</v>
      </c>
      <c r="B12" s="9">
        <v>45352</v>
      </c>
      <c r="C12" s="8" t="s">
        <v>53</v>
      </c>
      <c r="D12" s="8" t="s">
        <v>54</v>
      </c>
      <c r="E12" s="8">
        <v>4017823366</v>
      </c>
      <c r="F12" s="8">
        <v>10</v>
      </c>
      <c r="G12" s="8">
        <v>10</v>
      </c>
      <c r="H12" s="8">
        <v>7.5</v>
      </c>
      <c r="I12" s="8">
        <v>10</v>
      </c>
      <c r="J12" s="8">
        <v>10</v>
      </c>
      <c r="K12" s="8">
        <v>10</v>
      </c>
      <c r="L12" s="8">
        <v>10</v>
      </c>
      <c r="M12" s="8" t="s">
        <v>55</v>
      </c>
      <c r="N12" s="8"/>
      <c r="O12" s="8" t="s">
        <v>56</v>
      </c>
      <c r="P12" s="8"/>
    </row>
    <row r="13" spans="1:16">
      <c r="A13" s="8" t="s">
        <v>18</v>
      </c>
      <c r="B13" s="9">
        <v>45352</v>
      </c>
      <c r="C13" s="8" t="s">
        <v>57</v>
      </c>
      <c r="D13" s="8" t="s">
        <v>58</v>
      </c>
      <c r="E13" s="8">
        <v>4090239537</v>
      </c>
      <c r="F13" s="8">
        <v>8</v>
      </c>
      <c r="G13" s="8">
        <v>7.5</v>
      </c>
      <c r="H13" s="8">
        <v>5</v>
      </c>
      <c r="I13" s="8">
        <v>10</v>
      </c>
      <c r="J13" s="8">
        <v>7.5</v>
      </c>
      <c r="K13" s="8">
        <v>7.5</v>
      </c>
      <c r="L13" s="8">
        <v>7.5</v>
      </c>
      <c r="M13" s="8"/>
      <c r="N13" s="8"/>
      <c r="O13" s="8"/>
      <c r="P13" s="8"/>
    </row>
    <row r="14" spans="1:16">
      <c r="A14" s="8" t="s">
        <v>18</v>
      </c>
      <c r="B14" s="9">
        <v>45361</v>
      </c>
      <c r="C14" s="8" t="s">
        <v>59</v>
      </c>
      <c r="D14" s="8" t="s">
        <v>60</v>
      </c>
      <c r="E14" s="8">
        <v>4129626554</v>
      </c>
      <c r="F14" s="8">
        <v>5</v>
      </c>
      <c r="G14" s="8">
        <v>10</v>
      </c>
      <c r="H14" s="8">
        <v>7.5</v>
      </c>
      <c r="I14" s="8">
        <v>10</v>
      </c>
      <c r="J14" s="8">
        <v>2.5</v>
      </c>
      <c r="K14" s="8">
        <v>5</v>
      </c>
      <c r="L14" s="8">
        <v>5</v>
      </c>
      <c r="M14" s="8" t="s">
        <v>61</v>
      </c>
      <c r="N14" s="8" t="s">
        <v>62</v>
      </c>
      <c r="O14" s="8" t="s">
        <v>63</v>
      </c>
      <c r="P14" s="8"/>
    </row>
    <row r="15" spans="1:16">
      <c r="A15" s="8" t="s">
        <v>18</v>
      </c>
      <c r="B15" s="9">
        <v>45361</v>
      </c>
      <c r="C15" s="8" t="s">
        <v>64</v>
      </c>
      <c r="D15" s="8" t="s">
        <v>20</v>
      </c>
      <c r="E15" s="8">
        <v>4097074970</v>
      </c>
      <c r="F15" s="8">
        <v>8</v>
      </c>
      <c r="G15" s="8">
        <v>10</v>
      </c>
      <c r="H15" s="8">
        <v>7.5</v>
      </c>
      <c r="I15" s="8">
        <v>10</v>
      </c>
      <c r="J15" s="8">
        <v>7.5</v>
      </c>
      <c r="K15" s="8">
        <v>7.5</v>
      </c>
      <c r="L15" s="8">
        <v>10</v>
      </c>
      <c r="M15" s="8" t="s">
        <v>65</v>
      </c>
      <c r="N15" s="8" t="s">
        <v>66</v>
      </c>
      <c r="O15" s="8" t="s">
        <v>67</v>
      </c>
      <c r="P15" s="8"/>
    </row>
    <row r="16" spans="1:16">
      <c r="A16" s="8" t="s">
        <v>18</v>
      </c>
      <c r="B16" s="9">
        <v>45360</v>
      </c>
      <c r="C16" s="8" t="s">
        <v>68</v>
      </c>
      <c r="D16" s="8" t="s">
        <v>69</v>
      </c>
      <c r="E16" s="8">
        <v>4223287004</v>
      </c>
      <c r="F16" s="8">
        <v>7</v>
      </c>
      <c r="G16" s="8">
        <v>7.5</v>
      </c>
      <c r="H16" s="8">
        <v>2.5</v>
      </c>
      <c r="I16" s="8">
        <v>10</v>
      </c>
      <c r="J16" s="8">
        <v>5</v>
      </c>
      <c r="K16" s="8">
        <v>5</v>
      </c>
      <c r="L16" s="8">
        <v>10</v>
      </c>
      <c r="M16" s="8" t="s">
        <v>70</v>
      </c>
      <c r="N16" s="8" t="s">
        <v>71</v>
      </c>
      <c r="O16" s="8" t="s">
        <v>72</v>
      </c>
      <c r="P16" s="8"/>
    </row>
    <row r="17" spans="1:16">
      <c r="A17" s="8" t="s">
        <v>18</v>
      </c>
      <c r="B17" s="9">
        <v>45360</v>
      </c>
      <c r="C17" s="8" t="s">
        <v>73</v>
      </c>
      <c r="D17" s="8" t="s">
        <v>25</v>
      </c>
      <c r="E17" s="8">
        <v>4127207188</v>
      </c>
      <c r="F17" s="8">
        <v>7</v>
      </c>
      <c r="G17" s="8">
        <v>10</v>
      </c>
      <c r="H17" s="8">
        <v>10</v>
      </c>
      <c r="I17" s="8">
        <v>10</v>
      </c>
      <c r="J17" s="8">
        <v>7.5</v>
      </c>
      <c r="K17" s="8">
        <v>5</v>
      </c>
      <c r="L17" s="8">
        <v>10</v>
      </c>
      <c r="M17" s="8"/>
      <c r="N17" s="8"/>
      <c r="O17" s="8"/>
      <c r="P17" s="8"/>
    </row>
    <row r="18" spans="1:16">
      <c r="A18" s="8" t="s">
        <v>18</v>
      </c>
      <c r="B18" s="9">
        <v>45360</v>
      </c>
      <c r="C18" s="8" t="s">
        <v>74</v>
      </c>
      <c r="D18" s="8" t="s">
        <v>75</v>
      </c>
      <c r="E18" s="8">
        <v>4218912883</v>
      </c>
      <c r="F18" s="8">
        <v>9</v>
      </c>
      <c r="G18" s="8">
        <v>10</v>
      </c>
      <c r="H18" s="8">
        <v>10</v>
      </c>
      <c r="I18" s="8">
        <v>10</v>
      </c>
      <c r="J18" s="8">
        <v>7.5</v>
      </c>
      <c r="K18" s="8">
        <v>7.5</v>
      </c>
      <c r="L18" s="8">
        <v>10</v>
      </c>
      <c r="M18" s="8"/>
      <c r="N18" s="8"/>
      <c r="O18" s="8"/>
      <c r="P18" s="8"/>
    </row>
    <row r="19" spans="1:16">
      <c r="A19" s="8" t="s">
        <v>18</v>
      </c>
      <c r="B19" s="9">
        <v>45360</v>
      </c>
      <c r="C19" s="8" t="s">
        <v>76</v>
      </c>
      <c r="D19" s="8" t="s">
        <v>25</v>
      </c>
      <c r="E19" s="8">
        <v>4195409494</v>
      </c>
      <c r="F19" s="8">
        <v>10</v>
      </c>
      <c r="G19" s="8">
        <v>10</v>
      </c>
      <c r="H19" s="8">
        <v>10</v>
      </c>
      <c r="I19" s="8">
        <v>10</v>
      </c>
      <c r="J19" s="8">
        <v>10</v>
      </c>
      <c r="K19" s="8">
        <v>10</v>
      </c>
      <c r="L19" s="8">
        <v>10</v>
      </c>
      <c r="M19" s="8" t="s">
        <v>77</v>
      </c>
      <c r="N19" s="8" t="s">
        <v>78</v>
      </c>
      <c r="O19" s="8" t="s">
        <v>79</v>
      </c>
      <c r="P19" s="8"/>
    </row>
    <row r="20" spans="1:16">
      <c r="A20" s="8" t="s">
        <v>18</v>
      </c>
      <c r="B20" s="9">
        <v>45360</v>
      </c>
      <c r="C20" s="8" t="s">
        <v>80</v>
      </c>
      <c r="D20" s="8" t="s">
        <v>45</v>
      </c>
      <c r="E20" s="8">
        <v>4270546390</v>
      </c>
      <c r="F20" s="8">
        <v>7</v>
      </c>
      <c r="G20" s="8">
        <v>10</v>
      </c>
      <c r="H20" s="8">
        <v>10</v>
      </c>
      <c r="I20" s="8">
        <v>10</v>
      </c>
      <c r="J20" s="8">
        <v>7.5</v>
      </c>
      <c r="K20" s="8">
        <v>10</v>
      </c>
      <c r="L20" s="8">
        <v>7.5</v>
      </c>
      <c r="M20" s="8" t="s">
        <v>81</v>
      </c>
      <c r="N20" s="8" t="s">
        <v>82</v>
      </c>
      <c r="O20" s="8" t="s">
        <v>72</v>
      </c>
      <c r="P20" s="8"/>
    </row>
    <row r="21" spans="1:16">
      <c r="A21" s="8" t="s">
        <v>18</v>
      </c>
      <c r="B21" s="9">
        <v>45360</v>
      </c>
      <c r="C21" s="8" t="s">
        <v>83</v>
      </c>
      <c r="D21" s="8" t="s">
        <v>36</v>
      </c>
      <c r="E21" s="8">
        <v>4039683616</v>
      </c>
      <c r="F21" s="8">
        <v>8</v>
      </c>
      <c r="G21" s="8">
        <v>10</v>
      </c>
      <c r="H21" s="8">
        <v>10</v>
      </c>
      <c r="I21" s="8">
        <v>10</v>
      </c>
      <c r="J21" s="8">
        <v>7.5</v>
      </c>
      <c r="K21" s="8">
        <v>10</v>
      </c>
      <c r="L21" s="8">
        <v>10</v>
      </c>
      <c r="M21" s="8"/>
      <c r="N21" s="8"/>
      <c r="O21" s="8"/>
      <c r="P21" s="8"/>
    </row>
    <row r="22" spans="1:16">
      <c r="A22" s="8" t="s">
        <v>18</v>
      </c>
      <c r="B22" s="9">
        <v>45360</v>
      </c>
      <c r="C22" s="8" t="s">
        <v>84</v>
      </c>
      <c r="D22" s="8" t="s">
        <v>85</v>
      </c>
      <c r="E22" s="8">
        <v>4210677131</v>
      </c>
      <c r="F22" s="8">
        <v>9</v>
      </c>
      <c r="G22" s="8">
        <v>10</v>
      </c>
      <c r="H22" s="8">
        <v>7.5</v>
      </c>
      <c r="I22" s="8">
        <v>10</v>
      </c>
      <c r="J22" s="8">
        <v>7.5</v>
      </c>
      <c r="K22" s="8">
        <v>7.5</v>
      </c>
      <c r="L22" s="8">
        <v>10</v>
      </c>
      <c r="M22" s="8" t="s">
        <v>86</v>
      </c>
      <c r="N22" s="8" t="s">
        <v>87</v>
      </c>
      <c r="O22" s="8" t="s">
        <v>88</v>
      </c>
      <c r="P22" s="8"/>
    </row>
    <row r="23" spans="1:16">
      <c r="A23" s="8" t="s">
        <v>18</v>
      </c>
      <c r="B23" s="9">
        <v>45359</v>
      </c>
      <c r="C23" s="8" t="s">
        <v>89</v>
      </c>
      <c r="D23" s="8" t="s">
        <v>45</v>
      </c>
      <c r="E23" s="8">
        <v>4280395163</v>
      </c>
      <c r="F23" s="8">
        <v>8</v>
      </c>
      <c r="G23" s="8">
        <v>7.5</v>
      </c>
      <c r="H23" s="8">
        <v>7.5</v>
      </c>
      <c r="I23" s="8">
        <v>10</v>
      </c>
      <c r="J23" s="8">
        <v>7.5</v>
      </c>
      <c r="K23" s="8">
        <v>7.5</v>
      </c>
      <c r="L23" s="8">
        <v>10</v>
      </c>
      <c r="M23" s="8"/>
      <c r="N23" s="8"/>
      <c r="O23" s="8"/>
      <c r="P23" s="8"/>
    </row>
    <row r="24" spans="1:16">
      <c r="A24" s="8" t="s">
        <v>18</v>
      </c>
      <c r="B24" s="9">
        <v>45359</v>
      </c>
      <c r="C24" s="8" t="s">
        <v>90</v>
      </c>
      <c r="D24" s="8" t="s">
        <v>91</v>
      </c>
      <c r="E24" s="8">
        <v>4050628253</v>
      </c>
      <c r="F24" s="8">
        <v>10</v>
      </c>
      <c r="G24" s="8"/>
      <c r="H24" s="8">
        <v>10</v>
      </c>
      <c r="I24" s="8">
        <v>10</v>
      </c>
      <c r="J24" s="8">
        <v>10</v>
      </c>
      <c r="K24" s="8">
        <v>10</v>
      </c>
      <c r="L24" s="8"/>
      <c r="M24" s="8"/>
      <c r="N24" s="8"/>
      <c r="O24" s="8"/>
      <c r="P24" s="8"/>
    </row>
    <row r="25" spans="1:16">
      <c r="A25" s="8" t="s">
        <v>18</v>
      </c>
      <c r="B25" s="9">
        <v>45359</v>
      </c>
      <c r="C25" s="8" t="s">
        <v>92</v>
      </c>
      <c r="D25" s="8" t="s">
        <v>93</v>
      </c>
      <c r="E25" s="8">
        <v>4276388784</v>
      </c>
      <c r="F25" s="8">
        <v>10</v>
      </c>
      <c r="G25" s="8">
        <v>10</v>
      </c>
      <c r="H25" s="8">
        <v>10</v>
      </c>
      <c r="I25" s="8">
        <v>10</v>
      </c>
      <c r="J25" s="8">
        <v>7.5</v>
      </c>
      <c r="K25" s="8">
        <v>10</v>
      </c>
      <c r="L25" s="8">
        <v>10</v>
      </c>
      <c r="M25" s="8"/>
      <c r="N25" s="8"/>
      <c r="O25" s="8"/>
      <c r="P25" s="8"/>
    </row>
    <row r="26" spans="1:16">
      <c r="A26" s="8" t="s">
        <v>18</v>
      </c>
      <c r="B26" s="9">
        <v>45358</v>
      </c>
      <c r="C26" s="8" t="s">
        <v>94</v>
      </c>
      <c r="D26" s="8" t="s">
        <v>36</v>
      </c>
      <c r="E26" s="8">
        <v>4032372364</v>
      </c>
      <c r="F26" s="8">
        <v>8</v>
      </c>
      <c r="G26" s="8">
        <v>7.5</v>
      </c>
      <c r="H26" s="8">
        <v>7.5</v>
      </c>
      <c r="I26" s="8">
        <v>7.5</v>
      </c>
      <c r="J26" s="8">
        <v>7.5</v>
      </c>
      <c r="K26" s="8">
        <v>7.5</v>
      </c>
      <c r="L26" s="8">
        <v>10</v>
      </c>
      <c r="M26" s="8"/>
      <c r="N26" s="8"/>
      <c r="O26" s="8" t="s">
        <v>95</v>
      </c>
      <c r="P26" s="8"/>
    </row>
    <row r="27" spans="1:16">
      <c r="A27" s="8" t="s">
        <v>18</v>
      </c>
      <c r="B27" s="9">
        <v>45358</v>
      </c>
      <c r="C27" s="8" t="s">
        <v>96</v>
      </c>
      <c r="D27" s="8" t="s">
        <v>43</v>
      </c>
      <c r="E27" s="8">
        <v>4145425474</v>
      </c>
      <c r="F27" s="8">
        <v>4</v>
      </c>
      <c r="G27" s="8">
        <v>10</v>
      </c>
      <c r="H27" s="8">
        <v>2.5</v>
      </c>
      <c r="I27" s="8">
        <v>10</v>
      </c>
      <c r="J27" s="8">
        <v>5</v>
      </c>
      <c r="K27" s="8">
        <v>2.5</v>
      </c>
      <c r="L27" s="8">
        <v>7.5</v>
      </c>
      <c r="M27" s="8" t="s">
        <v>97</v>
      </c>
      <c r="N27" s="8" t="s">
        <v>98</v>
      </c>
      <c r="O27" s="8" t="s">
        <v>99</v>
      </c>
      <c r="P27" s="8"/>
    </row>
    <row r="28" spans="1:16">
      <c r="A28" s="8" t="s">
        <v>18</v>
      </c>
      <c r="B28" s="9">
        <v>45358</v>
      </c>
      <c r="C28" s="8" t="s">
        <v>100</v>
      </c>
      <c r="D28" s="8" t="s">
        <v>25</v>
      </c>
      <c r="E28" s="8">
        <v>4056267141</v>
      </c>
      <c r="F28" s="8">
        <v>8</v>
      </c>
      <c r="G28" s="8">
        <v>10</v>
      </c>
      <c r="H28" s="8">
        <v>7.5</v>
      </c>
      <c r="I28" s="8">
        <v>10</v>
      </c>
      <c r="J28" s="8">
        <v>7.5</v>
      </c>
      <c r="K28" s="8">
        <v>7.5</v>
      </c>
      <c r="L28" s="8">
        <v>10</v>
      </c>
      <c r="M28" s="8" t="s">
        <v>101</v>
      </c>
      <c r="N28" s="8" t="s">
        <v>102</v>
      </c>
      <c r="O28" s="8" t="s">
        <v>103</v>
      </c>
      <c r="P28" s="8"/>
    </row>
    <row r="29" spans="1:16">
      <c r="A29" s="8" t="s">
        <v>18</v>
      </c>
      <c r="B29" s="9">
        <v>45358</v>
      </c>
      <c r="C29" s="8" t="s">
        <v>104</v>
      </c>
      <c r="D29" s="8" t="s">
        <v>105</v>
      </c>
      <c r="E29" s="8">
        <v>4235223090</v>
      </c>
      <c r="F29" s="8">
        <v>1</v>
      </c>
      <c r="G29" s="8">
        <v>5</v>
      </c>
      <c r="H29" s="8">
        <v>2.5</v>
      </c>
      <c r="I29" s="8">
        <v>5</v>
      </c>
      <c r="J29" s="8">
        <v>2.5</v>
      </c>
      <c r="K29" s="8">
        <v>2.5</v>
      </c>
      <c r="L29" s="8">
        <v>2.5</v>
      </c>
      <c r="M29" s="8"/>
      <c r="N29" s="8" t="s">
        <v>106</v>
      </c>
      <c r="O29" s="8" t="s">
        <v>107</v>
      </c>
      <c r="P29" s="8"/>
    </row>
    <row r="30" spans="1:16">
      <c r="A30" s="8" t="s">
        <v>18</v>
      </c>
      <c r="B30" s="9">
        <v>45358</v>
      </c>
      <c r="C30" s="8" t="s">
        <v>108</v>
      </c>
      <c r="D30" s="8" t="s">
        <v>60</v>
      </c>
      <c r="E30" s="8">
        <v>4112706455</v>
      </c>
      <c r="F30" s="8">
        <v>8</v>
      </c>
      <c r="G30" s="8">
        <v>10</v>
      </c>
      <c r="H30" s="8">
        <v>10</v>
      </c>
      <c r="I30" s="8">
        <v>7.5</v>
      </c>
      <c r="J30" s="8">
        <v>10</v>
      </c>
      <c r="K30" s="8">
        <v>10</v>
      </c>
      <c r="L30" s="8">
        <v>10</v>
      </c>
      <c r="M30" s="8" t="s">
        <v>109</v>
      </c>
      <c r="N30" s="8" t="s">
        <v>110</v>
      </c>
      <c r="O30" s="8" t="s">
        <v>111</v>
      </c>
      <c r="P30" s="8"/>
    </row>
    <row r="31" spans="1:16">
      <c r="A31" s="8" t="s">
        <v>18</v>
      </c>
      <c r="B31" s="9">
        <v>45357</v>
      </c>
      <c r="C31" s="8" t="s">
        <v>112</v>
      </c>
      <c r="D31" s="8" t="s">
        <v>20</v>
      </c>
      <c r="E31" s="8">
        <v>4133564215</v>
      </c>
      <c r="F31" s="8">
        <v>8</v>
      </c>
      <c r="G31" s="8">
        <v>10</v>
      </c>
      <c r="H31" s="8">
        <v>7.5</v>
      </c>
      <c r="I31" s="8">
        <v>10</v>
      </c>
      <c r="J31" s="8">
        <v>7.5</v>
      </c>
      <c r="K31" s="8">
        <v>7.5</v>
      </c>
      <c r="L31" s="8">
        <v>5</v>
      </c>
      <c r="M31" s="8"/>
      <c r="N31" s="8"/>
      <c r="O31" s="8"/>
      <c r="P31" s="8"/>
    </row>
    <row r="32" spans="1:16">
      <c r="A32" s="8" t="s">
        <v>18</v>
      </c>
      <c r="B32" s="9">
        <v>45356</v>
      </c>
      <c r="C32" s="8" t="s">
        <v>113</v>
      </c>
      <c r="D32" s="8" t="s">
        <v>114</v>
      </c>
      <c r="E32" s="8">
        <v>4247428992</v>
      </c>
      <c r="F32" s="8">
        <v>6</v>
      </c>
      <c r="G32" s="8">
        <v>7.5</v>
      </c>
      <c r="H32" s="8">
        <v>5</v>
      </c>
      <c r="I32" s="8">
        <v>10</v>
      </c>
      <c r="J32" s="8">
        <v>2.5</v>
      </c>
      <c r="K32" s="8">
        <v>2.5</v>
      </c>
      <c r="L32" s="8">
        <v>5</v>
      </c>
      <c r="M32" s="8" t="s">
        <v>115</v>
      </c>
      <c r="N32" s="8" t="s">
        <v>116</v>
      </c>
      <c r="O32" s="8"/>
      <c r="P32" s="8"/>
    </row>
    <row r="33" spans="1:16">
      <c r="A33" s="8" t="s">
        <v>18</v>
      </c>
      <c r="B33" s="9">
        <v>45356</v>
      </c>
      <c r="C33" s="8" t="s">
        <v>117</v>
      </c>
      <c r="D33" s="8" t="s">
        <v>118</v>
      </c>
      <c r="E33" s="8">
        <v>4279156527</v>
      </c>
      <c r="F33" s="8">
        <v>10</v>
      </c>
      <c r="G33" s="8">
        <v>10</v>
      </c>
      <c r="H33" s="8">
        <v>10</v>
      </c>
      <c r="I33" s="8">
        <v>10</v>
      </c>
      <c r="J33" s="8">
        <v>10</v>
      </c>
      <c r="K33" s="8">
        <v>10</v>
      </c>
      <c r="L33" s="8">
        <v>10</v>
      </c>
      <c r="M33" s="8"/>
      <c r="N33" s="8"/>
      <c r="O33" s="8"/>
      <c r="P33" s="8"/>
    </row>
    <row r="34" spans="1:16">
      <c r="A34" s="8" t="s">
        <v>18</v>
      </c>
      <c r="B34" s="9">
        <v>45356</v>
      </c>
      <c r="C34" s="8" t="s">
        <v>119</v>
      </c>
      <c r="D34" s="8" t="s">
        <v>60</v>
      </c>
      <c r="E34" s="8">
        <v>4237647266</v>
      </c>
      <c r="F34" s="8">
        <v>2</v>
      </c>
      <c r="G34" s="8">
        <v>7.5</v>
      </c>
      <c r="H34" s="8">
        <v>2.5</v>
      </c>
      <c r="I34" s="8">
        <v>10</v>
      </c>
      <c r="J34" s="8">
        <v>2.5</v>
      </c>
      <c r="K34" s="8">
        <v>2.5</v>
      </c>
      <c r="L34" s="8">
        <v>5</v>
      </c>
      <c r="M34" s="8"/>
      <c r="N34" s="8" t="s">
        <v>120</v>
      </c>
      <c r="O34" s="8" t="s">
        <v>121</v>
      </c>
      <c r="P34" s="8"/>
    </row>
    <row r="35" spans="1:16">
      <c r="A35" s="8" t="s">
        <v>18</v>
      </c>
      <c r="B35" s="9">
        <v>45356</v>
      </c>
      <c r="C35" s="8" t="s">
        <v>122</v>
      </c>
      <c r="D35" s="8" t="s">
        <v>123</v>
      </c>
      <c r="E35" s="8">
        <v>4244101244</v>
      </c>
      <c r="F35" s="8">
        <v>10</v>
      </c>
      <c r="G35" s="8">
        <v>10</v>
      </c>
      <c r="H35" s="8">
        <v>10</v>
      </c>
      <c r="I35" s="8">
        <v>10</v>
      </c>
      <c r="J35" s="8">
        <v>10</v>
      </c>
      <c r="K35" s="8">
        <v>10</v>
      </c>
      <c r="L35" s="8">
        <v>10</v>
      </c>
      <c r="M35" s="8"/>
      <c r="N35" s="8"/>
      <c r="O35" s="8" t="s">
        <v>124</v>
      </c>
      <c r="P35" s="8"/>
    </row>
    <row r="36" spans="1:16">
      <c r="A36" s="8" t="s">
        <v>18</v>
      </c>
      <c r="B36" s="9">
        <v>45356</v>
      </c>
      <c r="C36" s="8" t="s">
        <v>125</v>
      </c>
      <c r="D36" s="8" t="s">
        <v>126</v>
      </c>
      <c r="E36" s="8">
        <v>4085342007</v>
      </c>
      <c r="F36" s="8">
        <v>7</v>
      </c>
      <c r="G36" s="8">
        <v>7.5</v>
      </c>
      <c r="H36" s="8">
        <v>7.5</v>
      </c>
      <c r="I36" s="8">
        <v>7.5</v>
      </c>
      <c r="J36" s="8">
        <v>5</v>
      </c>
      <c r="K36" s="8">
        <v>7.5</v>
      </c>
      <c r="L36" s="8">
        <v>7.5</v>
      </c>
      <c r="M36" s="8" t="s">
        <v>127</v>
      </c>
      <c r="N36" s="8" t="s">
        <v>128</v>
      </c>
      <c r="O36" s="8" t="s">
        <v>88</v>
      </c>
      <c r="P36" s="8"/>
    </row>
    <row r="37" spans="1:16" ht="12.75">
      <c r="A37" s="8" t="s">
        <v>18</v>
      </c>
      <c r="B37" s="9">
        <v>45356</v>
      </c>
      <c r="C37" s="8" t="s">
        <v>129</v>
      </c>
      <c r="D37" s="8" t="s">
        <v>25</v>
      </c>
      <c r="E37" s="8">
        <v>4220443386</v>
      </c>
      <c r="F37" s="8">
        <v>9</v>
      </c>
      <c r="G37" s="8">
        <v>10</v>
      </c>
      <c r="H37" s="8">
        <v>7.5</v>
      </c>
      <c r="I37" s="8">
        <v>10</v>
      </c>
      <c r="J37" s="8">
        <v>10</v>
      </c>
      <c r="K37" s="8">
        <v>10</v>
      </c>
      <c r="L37" s="8">
        <v>10</v>
      </c>
      <c r="M37" s="8" t="s">
        <v>130</v>
      </c>
      <c r="N37" s="8"/>
      <c r="O37" s="8"/>
      <c r="P37" s="8"/>
    </row>
    <row r="38" spans="1:16" ht="12.75">
      <c r="A38" s="8" t="s">
        <v>18</v>
      </c>
      <c r="B38" s="9">
        <v>45356</v>
      </c>
      <c r="C38" s="8" t="s">
        <v>131</v>
      </c>
      <c r="D38" s="8" t="s">
        <v>105</v>
      </c>
      <c r="E38" s="8">
        <v>4033205488</v>
      </c>
      <c r="F38" s="8">
        <v>8</v>
      </c>
      <c r="G38" s="8">
        <v>10</v>
      </c>
      <c r="H38" s="8">
        <v>7.5</v>
      </c>
      <c r="I38" s="8">
        <v>10</v>
      </c>
      <c r="J38" s="8">
        <v>7.5</v>
      </c>
      <c r="K38" s="8">
        <v>7.5</v>
      </c>
      <c r="L38" s="8">
        <v>7.5</v>
      </c>
      <c r="M38" s="8"/>
      <c r="N38" s="8"/>
      <c r="O38" s="8"/>
      <c r="P38" s="8"/>
    </row>
    <row r="39" spans="1:16" ht="12.75">
      <c r="A39" s="8" t="s">
        <v>18</v>
      </c>
      <c r="B39" s="9">
        <v>45356</v>
      </c>
      <c r="C39" s="8" t="s">
        <v>132</v>
      </c>
      <c r="D39" s="8" t="s">
        <v>45</v>
      </c>
      <c r="E39" s="8">
        <v>4155129380</v>
      </c>
      <c r="F39" s="8">
        <v>10</v>
      </c>
      <c r="G39" s="8">
        <v>10</v>
      </c>
      <c r="H39" s="8">
        <v>10</v>
      </c>
      <c r="I39" s="8">
        <v>10</v>
      </c>
      <c r="J39" s="8">
        <v>10</v>
      </c>
      <c r="K39" s="8">
        <v>10</v>
      </c>
      <c r="L39" s="8">
        <v>10</v>
      </c>
      <c r="M39" s="8"/>
      <c r="N39" s="8"/>
      <c r="O39" s="8"/>
      <c r="P39" s="8"/>
    </row>
    <row r="40" spans="1:16" ht="12.75">
      <c r="A40" s="8" t="s">
        <v>18</v>
      </c>
      <c r="B40" s="9">
        <v>45355</v>
      </c>
      <c r="C40" s="8" t="s">
        <v>133</v>
      </c>
      <c r="D40" s="8" t="s">
        <v>134</v>
      </c>
      <c r="E40" s="8">
        <v>4290562888</v>
      </c>
      <c r="F40" s="8">
        <v>6</v>
      </c>
      <c r="G40" s="8">
        <v>7.5</v>
      </c>
      <c r="H40" s="8">
        <v>5</v>
      </c>
      <c r="I40" s="8">
        <v>10</v>
      </c>
      <c r="J40" s="8">
        <v>5</v>
      </c>
      <c r="K40" s="8">
        <v>5</v>
      </c>
      <c r="L40" s="8">
        <v>7.5</v>
      </c>
      <c r="M40" s="8"/>
      <c r="N40" s="8"/>
      <c r="O40" s="8"/>
      <c r="P40" s="8"/>
    </row>
    <row r="41" spans="1:16" ht="12.75">
      <c r="A41" s="8" t="s">
        <v>18</v>
      </c>
      <c r="B41" s="9">
        <v>45355</v>
      </c>
      <c r="C41" s="8" t="s">
        <v>135</v>
      </c>
      <c r="D41" s="8" t="s">
        <v>136</v>
      </c>
      <c r="E41" s="8">
        <v>4120797541</v>
      </c>
      <c r="F41" s="8">
        <v>5</v>
      </c>
      <c r="G41" s="8">
        <v>10</v>
      </c>
      <c r="H41" s="8">
        <v>5</v>
      </c>
      <c r="I41" s="8">
        <v>10</v>
      </c>
      <c r="J41" s="8">
        <v>5</v>
      </c>
      <c r="K41" s="8">
        <v>5</v>
      </c>
      <c r="L41" s="8">
        <v>7.5</v>
      </c>
      <c r="M41" s="8" t="s">
        <v>137</v>
      </c>
      <c r="N41" s="8" t="s">
        <v>138</v>
      </c>
      <c r="O41" s="8" t="s">
        <v>88</v>
      </c>
      <c r="P41" s="8"/>
    </row>
    <row r="42" spans="1:16" ht="12.75">
      <c r="A42" s="8" t="s">
        <v>18</v>
      </c>
      <c r="B42" s="9">
        <v>45355</v>
      </c>
      <c r="C42" s="8" t="s">
        <v>139</v>
      </c>
      <c r="D42" s="8" t="s">
        <v>25</v>
      </c>
      <c r="E42" s="8">
        <v>4023591381</v>
      </c>
      <c r="F42" s="8">
        <v>10</v>
      </c>
      <c r="G42" s="8">
        <v>10</v>
      </c>
      <c r="H42" s="8">
        <v>10</v>
      </c>
      <c r="I42" s="8">
        <v>10</v>
      </c>
      <c r="J42" s="8">
        <v>10</v>
      </c>
      <c r="K42" s="8">
        <v>10</v>
      </c>
      <c r="L42" s="8">
        <v>10</v>
      </c>
      <c r="M42" s="8" t="s">
        <v>140</v>
      </c>
      <c r="N42" s="8"/>
      <c r="O42" s="8" t="s">
        <v>141</v>
      </c>
      <c r="P42" s="8"/>
    </row>
    <row r="43" spans="1:16" ht="12.75">
      <c r="A43" s="8" t="s">
        <v>18</v>
      </c>
      <c r="B43" s="9">
        <v>45355</v>
      </c>
      <c r="C43" s="8" t="s">
        <v>142</v>
      </c>
      <c r="D43" s="8" t="s">
        <v>105</v>
      </c>
      <c r="E43" s="8">
        <v>4059679398</v>
      </c>
      <c r="F43" s="8">
        <v>6</v>
      </c>
      <c r="G43" s="8">
        <v>7.5</v>
      </c>
      <c r="H43" s="8">
        <v>5</v>
      </c>
      <c r="I43" s="8">
        <v>10</v>
      </c>
      <c r="J43" s="8">
        <v>7.5</v>
      </c>
      <c r="K43" s="8">
        <v>7.5</v>
      </c>
      <c r="L43" s="8">
        <v>7.5</v>
      </c>
      <c r="M43" s="8"/>
      <c r="N43" s="8"/>
      <c r="O43" s="8"/>
      <c r="P43" s="8"/>
    </row>
    <row r="44" spans="1:16" ht="12.75">
      <c r="A44" s="8" t="s">
        <v>18</v>
      </c>
      <c r="B44" s="9">
        <v>45366</v>
      </c>
      <c r="C44" s="8" t="s">
        <v>143</v>
      </c>
      <c r="D44" s="8" t="s">
        <v>123</v>
      </c>
      <c r="E44" s="8">
        <v>4005465303</v>
      </c>
      <c r="F44" s="8">
        <v>3</v>
      </c>
      <c r="G44" s="8">
        <v>10</v>
      </c>
      <c r="H44" s="8">
        <v>5</v>
      </c>
      <c r="I44" s="8">
        <v>10</v>
      </c>
      <c r="J44" s="8">
        <v>2.5</v>
      </c>
      <c r="K44" s="8">
        <v>2.5</v>
      </c>
      <c r="L44" s="8">
        <v>2.5</v>
      </c>
      <c r="M44" s="8" t="s">
        <v>144</v>
      </c>
      <c r="N44" s="8" t="s">
        <v>145</v>
      </c>
      <c r="O44" s="8" t="s">
        <v>146</v>
      </c>
      <c r="P44" s="8"/>
    </row>
    <row r="45" spans="1:16" ht="12.75">
      <c r="A45" s="8" t="s">
        <v>18</v>
      </c>
      <c r="B45" s="9">
        <v>45366</v>
      </c>
      <c r="C45" s="8" t="s">
        <v>147</v>
      </c>
      <c r="D45" s="8" t="s">
        <v>148</v>
      </c>
      <c r="E45" s="8">
        <v>4151658053</v>
      </c>
      <c r="F45" s="8">
        <v>6</v>
      </c>
      <c r="G45" s="8">
        <v>7.5</v>
      </c>
      <c r="H45" s="8">
        <v>5</v>
      </c>
      <c r="I45" s="8">
        <v>7.5</v>
      </c>
      <c r="J45" s="8">
        <v>5</v>
      </c>
      <c r="K45" s="8">
        <v>5</v>
      </c>
      <c r="L45" s="8">
        <v>7.5</v>
      </c>
      <c r="M45" s="8" t="s">
        <v>149</v>
      </c>
      <c r="N45" s="8" t="s">
        <v>150</v>
      </c>
      <c r="O45" s="8" t="s">
        <v>151</v>
      </c>
      <c r="P45" s="8"/>
    </row>
    <row r="46" spans="1:16" ht="12.75">
      <c r="A46" s="8" t="s">
        <v>18</v>
      </c>
      <c r="B46" s="9">
        <v>45366</v>
      </c>
      <c r="C46" s="8" t="s">
        <v>152</v>
      </c>
      <c r="D46" s="8" t="s">
        <v>25</v>
      </c>
      <c r="E46" s="8">
        <v>4250932029</v>
      </c>
      <c r="F46" s="8">
        <v>7</v>
      </c>
      <c r="G46" s="8">
        <v>10</v>
      </c>
      <c r="H46" s="8">
        <v>5</v>
      </c>
      <c r="I46" s="8">
        <v>10</v>
      </c>
      <c r="J46" s="8">
        <v>5</v>
      </c>
      <c r="K46" s="8">
        <v>5</v>
      </c>
      <c r="L46" s="8">
        <v>7.5</v>
      </c>
      <c r="M46" s="8"/>
      <c r="N46" s="8"/>
      <c r="O46" s="8"/>
      <c r="P46" s="8"/>
    </row>
    <row r="47" spans="1:16" ht="12.75">
      <c r="A47" s="8" t="s">
        <v>18</v>
      </c>
      <c r="B47" s="9">
        <v>45365</v>
      </c>
      <c r="C47" s="8" t="s">
        <v>153</v>
      </c>
      <c r="D47" s="8" t="s">
        <v>36</v>
      </c>
      <c r="E47" s="8">
        <v>4246878628</v>
      </c>
      <c r="F47" s="8">
        <v>8</v>
      </c>
      <c r="G47" s="8">
        <v>7.5</v>
      </c>
      <c r="H47" s="8">
        <v>10</v>
      </c>
      <c r="I47" s="8">
        <v>10</v>
      </c>
      <c r="J47" s="8">
        <v>7.5</v>
      </c>
      <c r="K47" s="8">
        <v>10</v>
      </c>
      <c r="L47" s="8">
        <v>5</v>
      </c>
      <c r="M47" s="8" t="s">
        <v>154</v>
      </c>
      <c r="N47" s="8" t="s">
        <v>155</v>
      </c>
      <c r="O47" s="8" t="s">
        <v>156</v>
      </c>
      <c r="P47" s="8"/>
    </row>
    <row r="48" spans="1:16" ht="12.75">
      <c r="A48" s="8" t="s">
        <v>18</v>
      </c>
      <c r="B48" s="9">
        <v>45365</v>
      </c>
      <c r="C48" s="8" t="s">
        <v>157</v>
      </c>
      <c r="D48" s="8" t="s">
        <v>25</v>
      </c>
      <c r="E48" s="8">
        <v>4198236223</v>
      </c>
      <c r="F48" s="8">
        <v>10</v>
      </c>
      <c r="G48" s="8">
        <v>7.5</v>
      </c>
      <c r="H48" s="8">
        <v>5</v>
      </c>
      <c r="I48" s="8">
        <v>10</v>
      </c>
      <c r="J48" s="8">
        <v>10</v>
      </c>
      <c r="K48" s="8">
        <v>10</v>
      </c>
      <c r="L48" s="8">
        <v>10</v>
      </c>
      <c r="M48" s="8"/>
      <c r="N48" s="8"/>
      <c r="O48" s="8"/>
      <c r="P48" s="8"/>
    </row>
    <row r="49" spans="1:16" ht="12.75">
      <c r="A49" s="8" t="s">
        <v>18</v>
      </c>
      <c r="B49" s="9">
        <v>45365</v>
      </c>
      <c r="C49" s="8" t="s">
        <v>158</v>
      </c>
      <c r="D49" s="8" t="s">
        <v>58</v>
      </c>
      <c r="E49" s="8">
        <v>4046723670</v>
      </c>
      <c r="F49" s="8">
        <v>7</v>
      </c>
      <c r="G49" s="8">
        <v>7.5</v>
      </c>
      <c r="H49" s="8">
        <v>5</v>
      </c>
      <c r="I49" s="8">
        <v>10</v>
      </c>
      <c r="J49" s="8">
        <v>7.5</v>
      </c>
      <c r="K49" s="8">
        <v>7.5</v>
      </c>
      <c r="L49" s="8">
        <v>10</v>
      </c>
      <c r="M49" s="8" t="s">
        <v>159</v>
      </c>
      <c r="N49" s="8" t="s">
        <v>160</v>
      </c>
      <c r="O49" s="8" t="s">
        <v>161</v>
      </c>
      <c r="P49" s="8"/>
    </row>
    <row r="50" spans="1:16" ht="12.75">
      <c r="A50" s="8" t="s">
        <v>18</v>
      </c>
      <c r="B50" s="9">
        <v>45365</v>
      </c>
      <c r="C50" s="8" t="s">
        <v>162</v>
      </c>
      <c r="D50" s="8" t="s">
        <v>105</v>
      </c>
      <c r="E50" s="8">
        <v>4115026750</v>
      </c>
      <c r="F50" s="8">
        <v>8</v>
      </c>
      <c r="G50" s="8">
        <v>10</v>
      </c>
      <c r="H50" s="8">
        <v>7.5</v>
      </c>
      <c r="I50" s="8">
        <v>10</v>
      </c>
      <c r="J50" s="8">
        <v>10</v>
      </c>
      <c r="K50" s="8">
        <v>10</v>
      </c>
      <c r="L50" s="8">
        <v>10</v>
      </c>
      <c r="M50" s="8" t="s">
        <v>163</v>
      </c>
      <c r="N50" s="8" t="s">
        <v>164</v>
      </c>
      <c r="O50" s="8" t="s">
        <v>165</v>
      </c>
      <c r="P50" s="8"/>
    </row>
    <row r="51" spans="1:16" ht="12.75">
      <c r="A51" s="8" t="s">
        <v>18</v>
      </c>
      <c r="B51" s="9">
        <v>45365</v>
      </c>
      <c r="C51" s="8" t="s">
        <v>166</v>
      </c>
      <c r="D51" s="8" t="s">
        <v>60</v>
      </c>
      <c r="E51" s="8">
        <v>4088717146</v>
      </c>
      <c r="F51" s="8">
        <v>8</v>
      </c>
      <c r="G51" s="8">
        <v>7.5</v>
      </c>
      <c r="H51" s="8">
        <v>7.5</v>
      </c>
      <c r="I51" s="8">
        <v>10</v>
      </c>
      <c r="J51" s="8">
        <v>7.5</v>
      </c>
      <c r="K51" s="8">
        <v>7.5</v>
      </c>
      <c r="L51" s="8">
        <v>7.5</v>
      </c>
      <c r="M51" s="8" t="s">
        <v>167</v>
      </c>
      <c r="N51" s="8" t="s">
        <v>168</v>
      </c>
      <c r="O51" s="8" t="s">
        <v>169</v>
      </c>
      <c r="P51" s="8"/>
    </row>
    <row r="52" spans="1:16" ht="12.75">
      <c r="A52" s="8" t="s">
        <v>18</v>
      </c>
      <c r="B52" s="9">
        <v>45365</v>
      </c>
      <c r="C52" s="8" t="s">
        <v>170</v>
      </c>
      <c r="D52" s="8" t="s">
        <v>171</v>
      </c>
      <c r="E52" s="8">
        <v>4039673061</v>
      </c>
      <c r="F52" s="8">
        <v>5</v>
      </c>
      <c r="G52" s="8">
        <v>7.5</v>
      </c>
      <c r="H52" s="8">
        <v>2.5</v>
      </c>
      <c r="I52" s="8">
        <v>10</v>
      </c>
      <c r="J52" s="8">
        <v>7.5</v>
      </c>
      <c r="K52" s="8">
        <v>5</v>
      </c>
      <c r="L52" s="8">
        <v>5</v>
      </c>
      <c r="M52" s="8" t="s">
        <v>172</v>
      </c>
      <c r="N52" s="8" t="s">
        <v>173</v>
      </c>
      <c r="O52" s="8" t="s">
        <v>174</v>
      </c>
      <c r="P52" s="8"/>
    </row>
    <row r="53" spans="1:16" ht="12.75">
      <c r="A53" s="8" t="s">
        <v>18</v>
      </c>
      <c r="B53" s="9">
        <v>45365</v>
      </c>
      <c r="C53" s="8" t="s">
        <v>175</v>
      </c>
      <c r="D53" s="8" t="s">
        <v>45</v>
      </c>
      <c r="E53" s="8">
        <v>4153977087</v>
      </c>
      <c r="F53" s="8">
        <v>10</v>
      </c>
      <c r="G53" s="8">
        <v>10</v>
      </c>
      <c r="H53" s="8">
        <v>10</v>
      </c>
      <c r="I53" s="8">
        <v>10</v>
      </c>
      <c r="J53" s="8">
        <v>10</v>
      </c>
      <c r="K53" s="8">
        <v>10</v>
      </c>
      <c r="L53" s="8">
        <v>10</v>
      </c>
      <c r="M53" s="8" t="s">
        <v>176</v>
      </c>
      <c r="N53" s="8" t="s">
        <v>177</v>
      </c>
      <c r="O53" s="8" t="s">
        <v>178</v>
      </c>
      <c r="P53" s="8"/>
    </row>
    <row r="54" spans="1:16" ht="12.75">
      <c r="A54" s="8" t="s">
        <v>18</v>
      </c>
      <c r="B54" s="9">
        <v>45365</v>
      </c>
      <c r="C54" s="8" t="s">
        <v>179</v>
      </c>
      <c r="D54" s="8" t="s">
        <v>171</v>
      </c>
      <c r="E54" s="8">
        <v>4118296748</v>
      </c>
      <c r="F54" s="8">
        <v>9</v>
      </c>
      <c r="G54" s="8">
        <v>7.5</v>
      </c>
      <c r="H54" s="8">
        <v>7.5</v>
      </c>
      <c r="I54" s="8">
        <v>10</v>
      </c>
      <c r="J54" s="8">
        <v>10</v>
      </c>
      <c r="K54" s="8">
        <v>10</v>
      </c>
      <c r="L54" s="8">
        <v>10</v>
      </c>
      <c r="M54" s="8"/>
      <c r="N54" s="8"/>
      <c r="O54" s="8"/>
      <c r="P54" s="8"/>
    </row>
    <row r="55" spans="1:16" ht="12.75">
      <c r="A55" s="8" t="s">
        <v>18</v>
      </c>
      <c r="B55" s="9">
        <v>45365</v>
      </c>
      <c r="C55" s="8" t="s">
        <v>180</v>
      </c>
      <c r="D55" s="8" t="s">
        <v>54</v>
      </c>
      <c r="E55" s="8">
        <v>4284944331</v>
      </c>
      <c r="F55" s="8">
        <v>10</v>
      </c>
      <c r="G55" s="8">
        <v>10</v>
      </c>
      <c r="H55" s="8">
        <v>10</v>
      </c>
      <c r="I55" s="8">
        <v>10</v>
      </c>
      <c r="J55" s="8">
        <v>7.5</v>
      </c>
      <c r="K55" s="8">
        <v>10</v>
      </c>
      <c r="L55" s="8">
        <v>7.5</v>
      </c>
      <c r="M55" s="8" t="s">
        <v>181</v>
      </c>
      <c r="N55" s="8" t="s">
        <v>182</v>
      </c>
      <c r="O55" s="8" t="s">
        <v>183</v>
      </c>
      <c r="P55" s="8"/>
    </row>
    <row r="56" spans="1:16" ht="12.75">
      <c r="A56" s="8" t="s">
        <v>18</v>
      </c>
      <c r="B56" s="9">
        <v>45364</v>
      </c>
      <c r="C56" s="8" t="s">
        <v>184</v>
      </c>
      <c r="D56" s="8" t="s">
        <v>33</v>
      </c>
      <c r="E56" s="8">
        <v>4250293275</v>
      </c>
      <c r="F56" s="8">
        <v>8</v>
      </c>
      <c r="G56" s="8">
        <v>10</v>
      </c>
      <c r="H56" s="8">
        <v>7.5</v>
      </c>
      <c r="I56" s="8">
        <v>10</v>
      </c>
      <c r="J56" s="8">
        <v>5</v>
      </c>
      <c r="K56" s="8">
        <v>10</v>
      </c>
      <c r="L56" s="8">
        <v>10</v>
      </c>
      <c r="M56" s="8"/>
      <c r="N56" s="8"/>
      <c r="O56" s="8"/>
      <c r="P56" s="8"/>
    </row>
    <row r="57" spans="1:16" ht="12.75">
      <c r="A57" s="8" t="s">
        <v>18</v>
      </c>
      <c r="B57" s="9">
        <v>45364</v>
      </c>
      <c r="C57" s="8" t="s">
        <v>185</v>
      </c>
      <c r="D57" s="8" t="s">
        <v>148</v>
      </c>
      <c r="E57" s="8">
        <v>4244180374</v>
      </c>
      <c r="F57" s="8">
        <v>3</v>
      </c>
      <c r="G57" s="8">
        <v>7.5</v>
      </c>
      <c r="H57" s="8">
        <v>5</v>
      </c>
      <c r="I57" s="8">
        <v>7.5</v>
      </c>
      <c r="J57" s="8">
        <v>5</v>
      </c>
      <c r="K57" s="8">
        <v>5</v>
      </c>
      <c r="L57" s="8">
        <v>2.5</v>
      </c>
      <c r="M57" s="8"/>
      <c r="N57" s="8"/>
      <c r="O57" s="8"/>
      <c r="P57" s="8"/>
    </row>
    <row r="58" spans="1:16" ht="12.75">
      <c r="A58" s="8" t="s">
        <v>18</v>
      </c>
      <c r="B58" s="9">
        <v>45364</v>
      </c>
      <c r="C58" s="8" t="s">
        <v>186</v>
      </c>
      <c r="D58" s="8" t="s">
        <v>20</v>
      </c>
      <c r="E58" s="8">
        <v>4147357840</v>
      </c>
      <c r="F58" s="8">
        <v>1</v>
      </c>
      <c r="G58" s="8">
        <v>2.5</v>
      </c>
      <c r="H58" s="8">
        <v>2.5</v>
      </c>
      <c r="I58" s="8">
        <v>2.5</v>
      </c>
      <c r="J58" s="8">
        <v>2.5</v>
      </c>
      <c r="K58" s="8">
        <v>2.5</v>
      </c>
      <c r="L58" s="8">
        <v>2.5</v>
      </c>
      <c r="M58" s="8"/>
      <c r="N58" s="8" t="s">
        <v>187</v>
      </c>
      <c r="O58" s="8" t="s">
        <v>188</v>
      </c>
      <c r="P58" s="8"/>
    </row>
    <row r="59" spans="1:16" ht="12.75">
      <c r="A59" s="8" t="s">
        <v>18</v>
      </c>
      <c r="B59" s="9">
        <v>45363</v>
      </c>
      <c r="C59" s="8" t="s">
        <v>189</v>
      </c>
      <c r="D59" s="8" t="s">
        <v>190</v>
      </c>
      <c r="E59" s="8">
        <v>4277874146</v>
      </c>
      <c r="F59" s="8">
        <v>7</v>
      </c>
      <c r="G59" s="8">
        <v>5</v>
      </c>
      <c r="H59" s="8">
        <v>2.5</v>
      </c>
      <c r="I59" s="8">
        <v>10</v>
      </c>
      <c r="J59" s="8">
        <v>5</v>
      </c>
      <c r="K59" s="8">
        <v>7.5</v>
      </c>
      <c r="L59" s="8">
        <v>7.5</v>
      </c>
      <c r="M59" s="8"/>
      <c r="N59" s="8"/>
      <c r="O59" s="8"/>
      <c r="P59" s="8"/>
    </row>
    <row r="60" spans="1:16" ht="12.75">
      <c r="A60" s="8" t="s">
        <v>18</v>
      </c>
      <c r="B60" s="9">
        <v>45363</v>
      </c>
      <c r="C60" s="8" t="s">
        <v>191</v>
      </c>
      <c r="D60" s="8" t="s">
        <v>136</v>
      </c>
      <c r="E60" s="8">
        <v>4291648452</v>
      </c>
      <c r="F60" s="8">
        <v>8</v>
      </c>
      <c r="G60" s="8">
        <v>10</v>
      </c>
      <c r="H60" s="8">
        <v>7.5</v>
      </c>
      <c r="I60" s="8">
        <v>10</v>
      </c>
      <c r="J60" s="8">
        <v>10</v>
      </c>
      <c r="K60" s="8">
        <v>7.5</v>
      </c>
      <c r="L60" s="8">
        <v>7.5</v>
      </c>
      <c r="M60" s="8" t="s">
        <v>192</v>
      </c>
      <c r="N60" s="8" t="s">
        <v>193</v>
      </c>
      <c r="O60" s="8"/>
      <c r="P60" s="8"/>
    </row>
    <row r="61" spans="1:16" ht="12.75">
      <c r="A61" s="8" t="s">
        <v>18</v>
      </c>
      <c r="B61" s="9">
        <v>45363</v>
      </c>
      <c r="C61" s="8" t="s">
        <v>194</v>
      </c>
      <c r="D61" s="8" t="s">
        <v>195</v>
      </c>
      <c r="E61" s="8">
        <v>4280386920</v>
      </c>
      <c r="F61" s="8">
        <v>10</v>
      </c>
      <c r="G61" s="8">
        <v>10</v>
      </c>
      <c r="H61" s="8">
        <v>10</v>
      </c>
      <c r="I61" s="8">
        <v>10</v>
      </c>
      <c r="J61" s="8">
        <v>10</v>
      </c>
      <c r="K61" s="8">
        <v>10</v>
      </c>
      <c r="L61" s="8">
        <v>10</v>
      </c>
      <c r="M61" s="8" t="s">
        <v>196</v>
      </c>
      <c r="N61" s="8" t="s">
        <v>197</v>
      </c>
      <c r="O61" s="8" t="s">
        <v>198</v>
      </c>
      <c r="P61" s="8"/>
    </row>
    <row r="62" spans="1:16" ht="12.75">
      <c r="A62" s="8" t="s">
        <v>18</v>
      </c>
      <c r="B62" s="9">
        <v>45363</v>
      </c>
      <c r="C62" s="8" t="s">
        <v>199</v>
      </c>
      <c r="D62" s="8" t="s">
        <v>54</v>
      </c>
      <c r="E62" s="8">
        <v>4257208065</v>
      </c>
      <c r="F62" s="8">
        <v>7</v>
      </c>
      <c r="G62" s="8">
        <v>7.5</v>
      </c>
      <c r="H62" s="8">
        <v>5</v>
      </c>
      <c r="I62" s="8">
        <v>10</v>
      </c>
      <c r="J62" s="8">
        <v>7.5</v>
      </c>
      <c r="K62" s="8">
        <v>7.5</v>
      </c>
      <c r="L62" s="8">
        <v>7.5</v>
      </c>
      <c r="M62" s="8"/>
      <c r="N62" s="8"/>
      <c r="O62" s="8" t="s">
        <v>200</v>
      </c>
      <c r="P62" s="8"/>
    </row>
    <row r="63" spans="1:16" ht="12.75">
      <c r="A63" s="8" t="s">
        <v>18</v>
      </c>
      <c r="B63" s="9">
        <v>45363</v>
      </c>
      <c r="C63" s="8" t="s">
        <v>201</v>
      </c>
      <c r="D63" s="8" t="s">
        <v>60</v>
      </c>
      <c r="E63" s="8">
        <v>4229076923</v>
      </c>
      <c r="F63" s="8">
        <v>8</v>
      </c>
      <c r="G63" s="8">
        <v>7.5</v>
      </c>
      <c r="H63" s="8">
        <v>5</v>
      </c>
      <c r="I63" s="8">
        <v>10</v>
      </c>
      <c r="J63" s="8">
        <v>5</v>
      </c>
      <c r="K63" s="8">
        <v>7.5</v>
      </c>
      <c r="L63" s="8">
        <v>10</v>
      </c>
      <c r="M63" s="8"/>
      <c r="N63" s="8"/>
      <c r="O63" s="8"/>
      <c r="P63" s="8"/>
    </row>
    <row r="64" spans="1:16" ht="12.75">
      <c r="A64" s="8" t="s">
        <v>18</v>
      </c>
      <c r="B64" s="9">
        <v>45362</v>
      </c>
      <c r="C64" s="8" t="s">
        <v>202</v>
      </c>
      <c r="D64" s="8" t="s">
        <v>36</v>
      </c>
      <c r="E64" s="8">
        <v>4203773666</v>
      </c>
      <c r="F64" s="8">
        <v>5</v>
      </c>
      <c r="G64" s="8">
        <v>7.5</v>
      </c>
      <c r="H64" s="8">
        <v>10</v>
      </c>
      <c r="I64" s="8">
        <v>10</v>
      </c>
      <c r="J64" s="8">
        <v>5</v>
      </c>
      <c r="K64" s="8">
        <v>5</v>
      </c>
      <c r="L64" s="8">
        <v>7.5</v>
      </c>
      <c r="M64" s="8" t="s">
        <v>203</v>
      </c>
      <c r="N64" s="8" t="s">
        <v>204</v>
      </c>
      <c r="O64" s="8" t="s">
        <v>205</v>
      </c>
      <c r="P64" s="8"/>
    </row>
    <row r="65" spans="1:16" ht="12.75">
      <c r="A65" s="8" t="s">
        <v>18</v>
      </c>
      <c r="B65" s="9">
        <v>45362</v>
      </c>
      <c r="C65" s="8" t="s">
        <v>206</v>
      </c>
      <c r="D65" s="8" t="s">
        <v>54</v>
      </c>
      <c r="E65" s="8">
        <v>4293474988</v>
      </c>
      <c r="F65" s="8">
        <v>7</v>
      </c>
      <c r="G65" s="8">
        <v>7.5</v>
      </c>
      <c r="H65" s="8">
        <v>5</v>
      </c>
      <c r="I65" s="8">
        <v>10</v>
      </c>
      <c r="J65" s="8">
        <v>5</v>
      </c>
      <c r="K65" s="8">
        <v>5</v>
      </c>
      <c r="L65" s="8">
        <v>10</v>
      </c>
      <c r="M65" s="8" t="s">
        <v>207</v>
      </c>
      <c r="N65" s="8" t="s">
        <v>208</v>
      </c>
      <c r="O65" s="8" t="s">
        <v>209</v>
      </c>
      <c r="P65" s="8"/>
    </row>
    <row r="66" spans="1:16" ht="12.75">
      <c r="A66" s="8" t="s">
        <v>18</v>
      </c>
      <c r="B66" s="9">
        <v>45362</v>
      </c>
      <c r="C66" s="8" t="s">
        <v>210</v>
      </c>
      <c r="D66" s="8" t="s">
        <v>211</v>
      </c>
      <c r="E66" s="8">
        <v>4173154136</v>
      </c>
      <c r="F66" s="8">
        <v>6</v>
      </c>
      <c r="G66" s="8">
        <v>10</v>
      </c>
      <c r="H66" s="8">
        <v>2.5</v>
      </c>
      <c r="I66" s="8">
        <v>10</v>
      </c>
      <c r="J66" s="8">
        <v>2.5</v>
      </c>
      <c r="K66" s="8">
        <v>5</v>
      </c>
      <c r="L66" s="8">
        <v>5</v>
      </c>
      <c r="M66" s="8" t="s">
        <v>212</v>
      </c>
      <c r="N66" s="8" t="s">
        <v>213</v>
      </c>
      <c r="O66" s="8" t="s">
        <v>214</v>
      </c>
      <c r="P66" s="8"/>
    </row>
    <row r="67" spans="1:16" ht="12.75">
      <c r="A67" s="8" t="s">
        <v>18</v>
      </c>
      <c r="B67" s="9">
        <v>45362</v>
      </c>
      <c r="C67" s="8" t="s">
        <v>215</v>
      </c>
      <c r="D67" s="8" t="s">
        <v>36</v>
      </c>
      <c r="E67" s="8">
        <v>4257224052</v>
      </c>
      <c r="F67" s="8">
        <v>8</v>
      </c>
      <c r="G67" s="8">
        <v>10</v>
      </c>
      <c r="H67" s="8">
        <v>10</v>
      </c>
      <c r="I67" s="8">
        <v>10</v>
      </c>
      <c r="J67" s="8">
        <v>10</v>
      </c>
      <c r="K67" s="8">
        <v>10</v>
      </c>
      <c r="L67" s="8">
        <v>10</v>
      </c>
      <c r="M67" s="8" t="s">
        <v>216</v>
      </c>
      <c r="N67" s="8" t="s">
        <v>217</v>
      </c>
      <c r="O67" s="8" t="s">
        <v>218</v>
      </c>
      <c r="P67" s="8"/>
    </row>
    <row r="68" spans="1:16" ht="12.75">
      <c r="A68" s="8" t="s">
        <v>18</v>
      </c>
      <c r="B68" s="9">
        <v>45362</v>
      </c>
      <c r="C68" s="8" t="s">
        <v>219</v>
      </c>
      <c r="D68" s="8" t="s">
        <v>93</v>
      </c>
      <c r="E68" s="8">
        <v>4135039281</v>
      </c>
      <c r="F68" s="8">
        <v>10</v>
      </c>
      <c r="G68" s="8">
        <v>10</v>
      </c>
      <c r="H68" s="8">
        <v>10</v>
      </c>
      <c r="I68" s="8">
        <v>10</v>
      </c>
      <c r="J68" s="8">
        <v>10</v>
      </c>
      <c r="K68" s="8">
        <v>10</v>
      </c>
      <c r="L68" s="8">
        <v>10</v>
      </c>
      <c r="M68" s="8" t="s">
        <v>220</v>
      </c>
      <c r="N68" s="8"/>
      <c r="O68" s="8" t="s">
        <v>221</v>
      </c>
      <c r="P68" s="8"/>
    </row>
    <row r="69" spans="1:16" ht="12.75">
      <c r="A69" s="8" t="s">
        <v>18</v>
      </c>
      <c r="B69" s="9">
        <v>45362</v>
      </c>
      <c r="C69" s="8" t="s">
        <v>222</v>
      </c>
      <c r="D69" s="8" t="s">
        <v>45</v>
      </c>
      <c r="E69" s="8">
        <v>4164432471</v>
      </c>
      <c r="F69" s="8">
        <v>10</v>
      </c>
      <c r="G69" s="8">
        <v>10</v>
      </c>
      <c r="H69" s="8">
        <v>10</v>
      </c>
      <c r="I69" s="8">
        <v>10</v>
      </c>
      <c r="J69" s="8">
        <v>10</v>
      </c>
      <c r="K69" s="8">
        <v>10</v>
      </c>
      <c r="L69" s="8">
        <v>10</v>
      </c>
      <c r="M69" s="8"/>
      <c r="N69" s="8"/>
      <c r="O69" s="8"/>
      <c r="P69" s="8"/>
    </row>
    <row r="70" spans="1:16" ht="12.75">
      <c r="A70" s="8" t="s">
        <v>18</v>
      </c>
      <c r="B70" s="9">
        <v>45362</v>
      </c>
      <c r="C70" s="8" t="s">
        <v>223</v>
      </c>
      <c r="D70" s="8" t="s">
        <v>20</v>
      </c>
      <c r="E70" s="8">
        <v>4164135598</v>
      </c>
      <c r="F70" s="8">
        <v>7</v>
      </c>
      <c r="G70" s="8">
        <v>7.5</v>
      </c>
      <c r="H70" s="8">
        <v>7.5</v>
      </c>
      <c r="I70" s="8">
        <v>7.5</v>
      </c>
      <c r="J70" s="8">
        <v>7.5</v>
      </c>
      <c r="K70" s="8">
        <v>7.5</v>
      </c>
      <c r="L70" s="8">
        <v>10</v>
      </c>
      <c r="M70" s="8"/>
      <c r="N70" s="8"/>
      <c r="O70" s="8"/>
      <c r="P70" s="8"/>
    </row>
    <row r="71" spans="1:16" ht="12.75">
      <c r="A71" s="8" t="s">
        <v>18</v>
      </c>
      <c r="B71" s="9">
        <v>45362</v>
      </c>
      <c r="C71" s="8" t="s">
        <v>224</v>
      </c>
      <c r="D71" s="8" t="s">
        <v>36</v>
      </c>
      <c r="E71" s="8">
        <v>4071473345</v>
      </c>
      <c r="F71" s="8">
        <v>8</v>
      </c>
      <c r="G71" s="8">
        <v>10</v>
      </c>
      <c r="H71" s="8">
        <v>7.5</v>
      </c>
      <c r="I71" s="8">
        <v>10</v>
      </c>
      <c r="J71" s="8">
        <v>7.5</v>
      </c>
      <c r="K71" s="8">
        <v>7.5</v>
      </c>
      <c r="L71" s="8">
        <v>7.5</v>
      </c>
      <c r="M71" s="8"/>
      <c r="N71" s="8"/>
      <c r="O71" s="8"/>
      <c r="P71" s="8"/>
    </row>
    <row r="72" spans="1:16" ht="12.75">
      <c r="A72" s="8" t="s">
        <v>18</v>
      </c>
      <c r="B72" s="9">
        <v>45362</v>
      </c>
      <c r="C72" s="8" t="s">
        <v>225</v>
      </c>
      <c r="D72" s="8" t="s">
        <v>85</v>
      </c>
      <c r="E72" s="8">
        <v>4187720284</v>
      </c>
      <c r="F72" s="8">
        <v>8</v>
      </c>
      <c r="G72" s="8">
        <v>10</v>
      </c>
      <c r="H72" s="8">
        <v>7.5</v>
      </c>
      <c r="I72" s="8">
        <v>10</v>
      </c>
      <c r="J72" s="8">
        <v>7.5</v>
      </c>
      <c r="K72" s="8">
        <v>7.5</v>
      </c>
      <c r="L72" s="8">
        <v>7.5</v>
      </c>
      <c r="M72" s="8" t="s">
        <v>226</v>
      </c>
      <c r="N72" s="8" t="s">
        <v>227</v>
      </c>
      <c r="O72" s="8" t="s">
        <v>228</v>
      </c>
      <c r="P72" s="8"/>
    </row>
    <row r="73" spans="1:16" ht="12.75">
      <c r="A73" s="8" t="s">
        <v>18</v>
      </c>
      <c r="B73" s="9">
        <v>45361</v>
      </c>
      <c r="C73" s="8" t="s">
        <v>229</v>
      </c>
      <c r="D73" s="8" t="s">
        <v>123</v>
      </c>
      <c r="E73" s="8">
        <v>4270506395</v>
      </c>
      <c r="F73" s="8">
        <v>4</v>
      </c>
      <c r="G73" s="8">
        <v>5</v>
      </c>
      <c r="H73" s="8">
        <v>2.5</v>
      </c>
      <c r="I73" s="8">
        <v>7.5</v>
      </c>
      <c r="J73" s="8">
        <v>2.5</v>
      </c>
      <c r="K73" s="8">
        <v>7.5</v>
      </c>
      <c r="L73" s="8">
        <v>5</v>
      </c>
      <c r="M73" s="8" t="s">
        <v>230</v>
      </c>
      <c r="N73" s="8" t="s">
        <v>231</v>
      </c>
      <c r="O73" s="8" t="s">
        <v>232</v>
      </c>
      <c r="P73" s="8"/>
    </row>
    <row r="74" spans="1:16" ht="12.75">
      <c r="A74" s="8" t="s">
        <v>18</v>
      </c>
      <c r="B74" s="9">
        <v>45375</v>
      </c>
      <c r="C74" s="8" t="s">
        <v>233</v>
      </c>
      <c r="D74" s="8" t="s">
        <v>25</v>
      </c>
      <c r="E74" s="8">
        <v>4222708092</v>
      </c>
      <c r="F74" s="8">
        <v>6</v>
      </c>
      <c r="G74" s="8">
        <v>10</v>
      </c>
      <c r="H74" s="8">
        <v>2.5</v>
      </c>
      <c r="I74" s="8">
        <v>7.5</v>
      </c>
      <c r="J74" s="8">
        <v>5</v>
      </c>
      <c r="K74" s="8">
        <v>5</v>
      </c>
      <c r="L74" s="8">
        <v>7.5</v>
      </c>
      <c r="M74" s="8" t="s">
        <v>234</v>
      </c>
      <c r="N74" s="8" t="s">
        <v>235</v>
      </c>
      <c r="O74" s="8"/>
      <c r="P74" s="8"/>
    </row>
    <row r="75" spans="1:16" ht="12.75">
      <c r="A75" s="8" t="s">
        <v>18</v>
      </c>
      <c r="B75" s="9">
        <v>45374</v>
      </c>
      <c r="C75" s="8" t="s">
        <v>236</v>
      </c>
      <c r="D75" s="8" t="s">
        <v>54</v>
      </c>
      <c r="E75" s="8">
        <v>4261433261</v>
      </c>
      <c r="F75" s="8">
        <v>6</v>
      </c>
      <c r="G75" s="8">
        <v>5</v>
      </c>
      <c r="H75" s="8">
        <v>5</v>
      </c>
      <c r="I75" s="8">
        <v>10</v>
      </c>
      <c r="J75" s="8">
        <v>5</v>
      </c>
      <c r="K75" s="8">
        <v>5</v>
      </c>
      <c r="L75" s="8">
        <v>7.5</v>
      </c>
      <c r="M75" s="8"/>
      <c r="N75" s="8"/>
      <c r="O75" s="8"/>
      <c r="P75" s="8"/>
    </row>
    <row r="76" spans="1:16" ht="12.75">
      <c r="A76" s="8" t="s">
        <v>18</v>
      </c>
      <c r="B76" s="9">
        <v>45374</v>
      </c>
      <c r="C76" s="8" t="s">
        <v>237</v>
      </c>
      <c r="D76" s="8" t="s">
        <v>114</v>
      </c>
      <c r="E76" s="8">
        <v>4185183166</v>
      </c>
      <c r="F76" s="8">
        <v>8</v>
      </c>
      <c r="G76" s="8">
        <v>10</v>
      </c>
      <c r="H76" s="8">
        <v>5</v>
      </c>
      <c r="I76" s="8">
        <v>10</v>
      </c>
      <c r="J76" s="8">
        <v>10</v>
      </c>
      <c r="K76" s="8">
        <v>10</v>
      </c>
      <c r="L76" s="8">
        <v>10</v>
      </c>
      <c r="M76" s="8"/>
      <c r="N76" s="8"/>
      <c r="O76" s="8"/>
      <c r="P76" s="8"/>
    </row>
    <row r="77" spans="1:16" ht="12.75">
      <c r="A77" s="8" t="s">
        <v>18</v>
      </c>
      <c r="B77" s="9">
        <v>45373</v>
      </c>
      <c r="C77" s="8" t="s">
        <v>238</v>
      </c>
      <c r="D77" s="8" t="s">
        <v>54</v>
      </c>
      <c r="E77" s="8">
        <v>4242168629</v>
      </c>
      <c r="F77" s="8">
        <v>7</v>
      </c>
      <c r="G77" s="8">
        <v>7.5</v>
      </c>
      <c r="H77" s="8">
        <v>10</v>
      </c>
      <c r="I77" s="8">
        <v>10</v>
      </c>
      <c r="J77" s="8">
        <v>7.5</v>
      </c>
      <c r="K77" s="8">
        <v>7.5</v>
      </c>
      <c r="L77" s="8">
        <v>10</v>
      </c>
      <c r="M77" s="8" t="s">
        <v>239</v>
      </c>
      <c r="N77" s="8" t="s">
        <v>240</v>
      </c>
      <c r="O77" s="8" t="s">
        <v>241</v>
      </c>
      <c r="P77" s="8"/>
    </row>
    <row r="78" spans="1:16" ht="12.75">
      <c r="A78" s="8" t="s">
        <v>18</v>
      </c>
      <c r="B78" s="9">
        <v>45373</v>
      </c>
      <c r="C78" s="8" t="s">
        <v>242</v>
      </c>
      <c r="D78" s="8" t="s">
        <v>54</v>
      </c>
      <c r="E78" s="8">
        <v>4288550380</v>
      </c>
      <c r="F78" s="8">
        <v>10</v>
      </c>
      <c r="G78" s="8">
        <v>10</v>
      </c>
      <c r="H78" s="8">
        <v>10</v>
      </c>
      <c r="I78" s="8">
        <v>10</v>
      </c>
      <c r="J78" s="8">
        <v>5</v>
      </c>
      <c r="K78" s="8">
        <v>5</v>
      </c>
      <c r="L78" s="8">
        <v>7.5</v>
      </c>
      <c r="M78" s="8"/>
      <c r="N78" s="8"/>
      <c r="O78" s="8"/>
      <c r="P78" s="8"/>
    </row>
    <row r="79" spans="1:16" ht="12.75">
      <c r="A79" s="8" t="s">
        <v>18</v>
      </c>
      <c r="B79" s="9">
        <v>45373</v>
      </c>
      <c r="C79" s="8" t="s">
        <v>202</v>
      </c>
      <c r="D79" s="8" t="s">
        <v>45</v>
      </c>
      <c r="E79" s="8">
        <v>4128894882</v>
      </c>
      <c r="F79" s="8">
        <v>7</v>
      </c>
      <c r="G79" s="8">
        <v>10</v>
      </c>
      <c r="H79" s="8"/>
      <c r="I79" s="8">
        <v>10</v>
      </c>
      <c r="J79" s="8">
        <v>7.5</v>
      </c>
      <c r="K79" s="8">
        <v>5</v>
      </c>
      <c r="L79" s="8">
        <v>7.5</v>
      </c>
      <c r="M79" s="8" t="s">
        <v>243</v>
      </c>
      <c r="N79" s="8" t="s">
        <v>244</v>
      </c>
      <c r="O79" s="8"/>
      <c r="P79" s="8"/>
    </row>
    <row r="80" spans="1:16" ht="12.75">
      <c r="A80" s="8" t="s">
        <v>18</v>
      </c>
      <c r="B80" s="9">
        <v>45372</v>
      </c>
      <c r="C80" s="8" t="s">
        <v>245</v>
      </c>
      <c r="D80" s="8" t="s">
        <v>54</v>
      </c>
      <c r="E80" s="8">
        <v>4056457052</v>
      </c>
      <c r="F80" s="8">
        <v>7</v>
      </c>
      <c r="G80" s="8">
        <v>7.5</v>
      </c>
      <c r="H80" s="8">
        <v>7.5</v>
      </c>
      <c r="I80" s="8">
        <v>10</v>
      </c>
      <c r="J80" s="8">
        <v>7.5</v>
      </c>
      <c r="K80" s="8">
        <v>7.5</v>
      </c>
      <c r="L80" s="8">
        <v>10</v>
      </c>
      <c r="M80" s="8" t="s">
        <v>246</v>
      </c>
      <c r="N80" s="8" t="s">
        <v>247</v>
      </c>
      <c r="O80" s="8" t="s">
        <v>248</v>
      </c>
      <c r="P80" s="8"/>
    </row>
    <row r="81" spans="1:16" ht="12.75">
      <c r="A81" s="8" t="s">
        <v>18</v>
      </c>
      <c r="B81" s="9">
        <v>45372</v>
      </c>
      <c r="C81" s="8" t="s">
        <v>249</v>
      </c>
      <c r="D81" s="8" t="s">
        <v>33</v>
      </c>
      <c r="E81" s="8">
        <v>4102431167</v>
      </c>
      <c r="F81" s="8">
        <v>10</v>
      </c>
      <c r="G81" s="8">
        <v>10</v>
      </c>
      <c r="H81" s="8">
        <v>10</v>
      </c>
      <c r="I81" s="8">
        <v>7.5</v>
      </c>
      <c r="J81" s="8">
        <v>10</v>
      </c>
      <c r="K81" s="8">
        <v>10</v>
      </c>
      <c r="L81" s="8">
        <v>10</v>
      </c>
      <c r="M81" s="8"/>
      <c r="N81" s="8"/>
      <c r="O81" s="8"/>
      <c r="P81" s="8"/>
    </row>
    <row r="82" spans="1:16" ht="12.75">
      <c r="A82" s="8" t="s">
        <v>18</v>
      </c>
      <c r="B82" s="9">
        <v>45371</v>
      </c>
      <c r="C82" s="8" t="s">
        <v>250</v>
      </c>
      <c r="D82" s="8" t="s">
        <v>54</v>
      </c>
      <c r="E82" s="8">
        <v>4254298324</v>
      </c>
      <c r="F82" s="8">
        <v>8</v>
      </c>
      <c r="G82" s="8">
        <v>7.5</v>
      </c>
      <c r="H82" s="8">
        <v>7.5</v>
      </c>
      <c r="I82" s="8">
        <v>10</v>
      </c>
      <c r="J82" s="8">
        <v>5</v>
      </c>
      <c r="K82" s="8">
        <v>10</v>
      </c>
      <c r="L82" s="8">
        <v>7.5</v>
      </c>
      <c r="M82" s="8"/>
      <c r="N82" s="8"/>
      <c r="O82" s="8"/>
      <c r="P82" s="8"/>
    </row>
    <row r="83" spans="1:16" ht="12.75">
      <c r="A83" s="8" t="s">
        <v>18</v>
      </c>
      <c r="B83" s="9">
        <v>45371</v>
      </c>
      <c r="C83" s="8" t="s">
        <v>251</v>
      </c>
      <c r="D83" s="8" t="s">
        <v>252</v>
      </c>
      <c r="E83" s="8">
        <v>4237762685</v>
      </c>
      <c r="F83" s="8">
        <v>10</v>
      </c>
      <c r="G83" s="8">
        <v>10</v>
      </c>
      <c r="H83" s="8">
        <v>10</v>
      </c>
      <c r="I83" s="8">
        <v>10</v>
      </c>
      <c r="J83" s="8">
        <v>7.5</v>
      </c>
      <c r="K83" s="8">
        <v>10</v>
      </c>
      <c r="L83" s="8">
        <v>10</v>
      </c>
      <c r="M83" s="8"/>
      <c r="N83" s="8"/>
      <c r="O83" s="8"/>
      <c r="P83" s="8"/>
    </row>
    <row r="84" spans="1:16" ht="12.75">
      <c r="A84" s="8" t="s">
        <v>18</v>
      </c>
      <c r="B84" s="9">
        <v>45371</v>
      </c>
      <c r="C84" s="8" t="s">
        <v>253</v>
      </c>
      <c r="D84" s="8" t="s">
        <v>54</v>
      </c>
      <c r="E84" s="8">
        <v>4159283011</v>
      </c>
      <c r="F84" s="8">
        <v>8</v>
      </c>
      <c r="G84" s="8">
        <v>10</v>
      </c>
      <c r="H84" s="8">
        <v>7.5</v>
      </c>
      <c r="I84" s="8">
        <v>10</v>
      </c>
      <c r="J84" s="8">
        <v>7.5</v>
      </c>
      <c r="K84" s="8">
        <v>7.5</v>
      </c>
      <c r="L84" s="8">
        <v>10</v>
      </c>
      <c r="M84" s="8"/>
      <c r="N84" s="8"/>
      <c r="O84" s="8"/>
      <c r="P84" s="8"/>
    </row>
    <row r="85" spans="1:16" ht="12.75">
      <c r="A85" s="8" t="s">
        <v>18</v>
      </c>
      <c r="B85" s="9">
        <v>45371</v>
      </c>
      <c r="C85" s="8" t="s">
        <v>254</v>
      </c>
      <c r="D85" s="8" t="s">
        <v>54</v>
      </c>
      <c r="E85" s="8">
        <v>4098511629</v>
      </c>
      <c r="F85" s="8">
        <v>7</v>
      </c>
      <c r="G85" s="8">
        <v>10</v>
      </c>
      <c r="H85" s="8">
        <v>5</v>
      </c>
      <c r="I85" s="8">
        <v>10</v>
      </c>
      <c r="J85" s="8">
        <v>7.5</v>
      </c>
      <c r="K85" s="8">
        <v>5</v>
      </c>
      <c r="L85" s="8">
        <v>10</v>
      </c>
      <c r="M85" s="8"/>
      <c r="N85" s="8"/>
      <c r="O85" s="8"/>
      <c r="P85" s="8"/>
    </row>
    <row r="86" spans="1:16" ht="12.75">
      <c r="A86" s="8" t="s">
        <v>18</v>
      </c>
      <c r="B86" s="9">
        <v>45370</v>
      </c>
      <c r="C86" s="8" t="s">
        <v>255</v>
      </c>
      <c r="D86" s="8" t="s">
        <v>45</v>
      </c>
      <c r="E86" s="8">
        <v>4242569354</v>
      </c>
      <c r="F86" s="8">
        <v>8</v>
      </c>
      <c r="G86" s="8">
        <v>10</v>
      </c>
      <c r="H86" s="8">
        <v>7.5</v>
      </c>
      <c r="I86" s="8">
        <v>10</v>
      </c>
      <c r="J86" s="8">
        <v>7.5</v>
      </c>
      <c r="K86" s="8">
        <v>7.5</v>
      </c>
      <c r="L86" s="8">
        <v>10</v>
      </c>
      <c r="M86" s="8"/>
      <c r="N86" s="8"/>
      <c r="O86" s="8"/>
      <c r="P86" s="8"/>
    </row>
    <row r="87" spans="1:16" ht="12.75">
      <c r="A87" s="8" t="s">
        <v>18</v>
      </c>
      <c r="B87" s="9">
        <v>45370</v>
      </c>
      <c r="C87" s="8" t="s">
        <v>256</v>
      </c>
      <c r="D87" s="8" t="s">
        <v>257</v>
      </c>
      <c r="E87" s="8">
        <v>4039179066</v>
      </c>
      <c r="F87" s="8">
        <v>4</v>
      </c>
      <c r="G87" s="8">
        <v>5</v>
      </c>
      <c r="H87" s="8">
        <v>5</v>
      </c>
      <c r="I87" s="8">
        <v>10</v>
      </c>
      <c r="J87" s="8">
        <v>2.5</v>
      </c>
      <c r="K87" s="8">
        <v>5</v>
      </c>
      <c r="L87" s="8">
        <v>7.5</v>
      </c>
      <c r="M87" s="8"/>
      <c r="N87" s="8"/>
      <c r="O87" s="8"/>
      <c r="P87" s="8"/>
    </row>
    <row r="88" spans="1:16" ht="12.75">
      <c r="A88" s="8" t="s">
        <v>18</v>
      </c>
      <c r="B88" s="9">
        <v>45370</v>
      </c>
      <c r="C88" s="8" t="s">
        <v>258</v>
      </c>
      <c r="D88" s="8" t="s">
        <v>259</v>
      </c>
      <c r="E88" s="8">
        <v>4104384809</v>
      </c>
      <c r="F88" s="8">
        <v>10</v>
      </c>
      <c r="G88" s="8">
        <v>10</v>
      </c>
      <c r="H88" s="8">
        <v>10</v>
      </c>
      <c r="I88" s="8">
        <v>10</v>
      </c>
      <c r="J88" s="8">
        <v>7.5</v>
      </c>
      <c r="K88" s="8">
        <v>7.5</v>
      </c>
      <c r="L88" s="8">
        <v>7.5</v>
      </c>
      <c r="M88" s="8"/>
      <c r="N88" s="8"/>
      <c r="O88" s="8"/>
      <c r="P88" s="8"/>
    </row>
    <row r="89" spans="1:16" ht="12.75">
      <c r="A89" s="8" t="s">
        <v>18</v>
      </c>
      <c r="B89" s="9">
        <v>45370</v>
      </c>
      <c r="C89" s="8" t="s">
        <v>135</v>
      </c>
      <c r="D89" s="8" t="s">
        <v>60</v>
      </c>
      <c r="E89" s="8">
        <v>4041654593</v>
      </c>
      <c r="F89" s="8">
        <v>8</v>
      </c>
      <c r="G89" s="8">
        <v>10</v>
      </c>
      <c r="H89" s="8">
        <v>7.5</v>
      </c>
      <c r="I89" s="8">
        <v>10</v>
      </c>
      <c r="J89" s="8">
        <v>7.5</v>
      </c>
      <c r="K89" s="8">
        <v>7.5</v>
      </c>
      <c r="L89" s="8">
        <v>10</v>
      </c>
      <c r="M89" s="8" t="s">
        <v>260</v>
      </c>
      <c r="N89" s="8" t="s">
        <v>261</v>
      </c>
      <c r="O89" s="8"/>
      <c r="P89" s="8"/>
    </row>
    <row r="90" spans="1:16" ht="12.75">
      <c r="A90" s="8" t="s">
        <v>18</v>
      </c>
      <c r="B90" s="9">
        <v>45370</v>
      </c>
      <c r="C90" s="8" t="s">
        <v>262</v>
      </c>
      <c r="D90" s="8" t="s">
        <v>28</v>
      </c>
      <c r="E90" s="8">
        <v>4160417410</v>
      </c>
      <c r="F90" s="8">
        <v>8</v>
      </c>
      <c r="G90" s="8">
        <v>7.5</v>
      </c>
      <c r="H90" s="8">
        <v>7.5</v>
      </c>
      <c r="I90" s="8">
        <v>10</v>
      </c>
      <c r="J90" s="8">
        <v>7.5</v>
      </c>
      <c r="K90" s="8">
        <v>7.5</v>
      </c>
      <c r="L90" s="8">
        <v>7.5</v>
      </c>
      <c r="M90" s="8"/>
      <c r="N90" s="8"/>
      <c r="O90" s="8"/>
      <c r="P90" s="8"/>
    </row>
    <row r="91" spans="1:16" ht="12.75">
      <c r="A91" s="8" t="s">
        <v>18</v>
      </c>
      <c r="B91" s="9">
        <v>45370</v>
      </c>
      <c r="C91" s="8" t="s">
        <v>263</v>
      </c>
      <c r="D91" s="8" t="s">
        <v>105</v>
      </c>
      <c r="E91" s="8">
        <v>4270870040</v>
      </c>
      <c r="F91" s="8">
        <v>10</v>
      </c>
      <c r="G91" s="8">
        <v>10</v>
      </c>
      <c r="H91" s="8">
        <v>10</v>
      </c>
      <c r="I91" s="8">
        <v>10</v>
      </c>
      <c r="J91" s="8">
        <v>10</v>
      </c>
      <c r="K91" s="8">
        <v>10</v>
      </c>
      <c r="L91" s="8">
        <v>10</v>
      </c>
      <c r="M91" s="8"/>
      <c r="N91" s="8"/>
      <c r="O91" s="8"/>
      <c r="P91" s="8"/>
    </row>
    <row r="92" spans="1:16" ht="12.75">
      <c r="A92" s="8" t="s">
        <v>18</v>
      </c>
      <c r="B92" s="9">
        <v>45369</v>
      </c>
      <c r="C92" s="8" t="s">
        <v>264</v>
      </c>
      <c r="D92" s="8" t="s">
        <v>33</v>
      </c>
      <c r="E92" s="8">
        <v>4185120675</v>
      </c>
      <c r="F92" s="8">
        <v>10</v>
      </c>
      <c r="G92" s="8">
        <v>10</v>
      </c>
      <c r="H92" s="8">
        <v>10</v>
      </c>
      <c r="I92" s="8">
        <v>10</v>
      </c>
      <c r="J92" s="8">
        <v>10</v>
      </c>
      <c r="K92" s="8">
        <v>10</v>
      </c>
      <c r="L92" s="8">
        <v>10</v>
      </c>
      <c r="M92" s="8"/>
      <c r="N92" s="8"/>
      <c r="O92" s="8"/>
      <c r="P92" s="8"/>
    </row>
    <row r="93" spans="1:16" ht="12.75">
      <c r="A93" s="8" t="s">
        <v>18</v>
      </c>
      <c r="B93" s="9">
        <v>45369</v>
      </c>
      <c r="C93" s="8" t="s">
        <v>265</v>
      </c>
      <c r="D93" s="8" t="s">
        <v>45</v>
      </c>
      <c r="E93" s="8">
        <v>4127420519</v>
      </c>
      <c r="F93" s="8">
        <v>10</v>
      </c>
      <c r="G93" s="8">
        <v>10</v>
      </c>
      <c r="H93" s="8">
        <v>10</v>
      </c>
      <c r="I93" s="8">
        <v>10</v>
      </c>
      <c r="J93" s="8">
        <v>10</v>
      </c>
      <c r="K93" s="8">
        <v>10</v>
      </c>
      <c r="L93" s="8">
        <v>10</v>
      </c>
      <c r="M93" s="8"/>
      <c r="N93" s="8"/>
      <c r="O93" s="8"/>
      <c r="P93" s="8"/>
    </row>
    <row r="94" spans="1:16" ht="12.75">
      <c r="A94" s="8" t="s">
        <v>18</v>
      </c>
      <c r="B94" s="9">
        <v>45369</v>
      </c>
      <c r="C94" s="8" t="s">
        <v>266</v>
      </c>
      <c r="D94" s="8" t="s">
        <v>25</v>
      </c>
      <c r="E94" s="8">
        <v>4151626250</v>
      </c>
      <c r="F94" s="8">
        <v>8</v>
      </c>
      <c r="G94" s="8">
        <v>5</v>
      </c>
      <c r="H94" s="8">
        <v>7.5</v>
      </c>
      <c r="I94" s="8">
        <v>7.5</v>
      </c>
      <c r="J94" s="8">
        <v>7.5</v>
      </c>
      <c r="K94" s="8">
        <v>7.5</v>
      </c>
      <c r="L94" s="8"/>
      <c r="M94" s="8"/>
      <c r="N94" s="8"/>
      <c r="O94" s="8"/>
      <c r="P94" s="8"/>
    </row>
    <row r="95" spans="1:16" ht="12.75">
      <c r="A95" s="8" t="s">
        <v>18</v>
      </c>
      <c r="B95" s="9">
        <v>45369</v>
      </c>
      <c r="C95" s="8" t="s">
        <v>267</v>
      </c>
      <c r="D95" s="8" t="s">
        <v>93</v>
      </c>
      <c r="E95" s="8">
        <v>4151793716</v>
      </c>
      <c r="F95" s="8">
        <v>7</v>
      </c>
      <c r="G95" s="8">
        <v>7.5</v>
      </c>
      <c r="H95" s="8">
        <v>7.5</v>
      </c>
      <c r="I95" s="8">
        <v>7.5</v>
      </c>
      <c r="J95" s="8">
        <v>7.5</v>
      </c>
      <c r="K95" s="8">
        <v>7.5</v>
      </c>
      <c r="L95" s="8">
        <v>7.5</v>
      </c>
      <c r="M95" s="8"/>
      <c r="N95" s="8"/>
      <c r="O95" s="8"/>
      <c r="P95" s="8"/>
    </row>
    <row r="96" spans="1:16" ht="12.75">
      <c r="A96" s="8" t="s">
        <v>18</v>
      </c>
      <c r="B96" s="9">
        <v>45369</v>
      </c>
      <c r="C96" s="8" t="s">
        <v>268</v>
      </c>
      <c r="D96" s="8" t="s">
        <v>257</v>
      </c>
      <c r="E96" s="8">
        <v>4083863521</v>
      </c>
      <c r="F96" s="8">
        <v>8</v>
      </c>
      <c r="G96" s="8">
        <v>7.5</v>
      </c>
      <c r="H96" s="8">
        <v>7.5</v>
      </c>
      <c r="I96" s="8">
        <v>7.5</v>
      </c>
      <c r="J96" s="8">
        <v>7.5</v>
      </c>
      <c r="K96" s="8">
        <v>7.5</v>
      </c>
      <c r="L96" s="8">
        <v>7.5</v>
      </c>
      <c r="M96" s="8"/>
      <c r="N96" s="8"/>
      <c r="O96" s="8"/>
      <c r="P96" s="8"/>
    </row>
    <row r="97" spans="1:16" ht="12.75">
      <c r="A97" s="8" t="s">
        <v>18</v>
      </c>
      <c r="B97" s="9">
        <v>45368</v>
      </c>
      <c r="C97" s="8" t="s">
        <v>269</v>
      </c>
      <c r="D97" s="8" t="s">
        <v>54</v>
      </c>
      <c r="E97" s="8">
        <v>4145015825</v>
      </c>
      <c r="F97" s="8">
        <v>8</v>
      </c>
      <c r="G97" s="8">
        <v>7.5</v>
      </c>
      <c r="H97" s="8">
        <v>7.5</v>
      </c>
      <c r="I97" s="8">
        <v>10</v>
      </c>
      <c r="J97" s="8">
        <v>7.5</v>
      </c>
      <c r="K97" s="8">
        <v>10</v>
      </c>
      <c r="L97" s="8">
        <v>10</v>
      </c>
      <c r="M97" s="8"/>
      <c r="N97" s="8"/>
      <c r="O97" s="8"/>
      <c r="P97" s="8"/>
    </row>
    <row r="98" spans="1:16" ht="12.75">
      <c r="A98" s="8" t="s">
        <v>18</v>
      </c>
      <c r="B98" s="9">
        <v>45367</v>
      </c>
      <c r="C98" s="8" t="s">
        <v>270</v>
      </c>
      <c r="D98" s="8" t="s">
        <v>43</v>
      </c>
      <c r="E98" s="8">
        <v>4172469777</v>
      </c>
      <c r="F98" s="8">
        <v>4</v>
      </c>
      <c r="G98" s="8">
        <v>7.5</v>
      </c>
      <c r="H98" s="8">
        <v>2.5</v>
      </c>
      <c r="I98" s="8">
        <v>10</v>
      </c>
      <c r="J98" s="8">
        <v>5</v>
      </c>
      <c r="K98" s="8">
        <v>2.5</v>
      </c>
      <c r="L98" s="8">
        <v>5</v>
      </c>
      <c r="M98" s="8"/>
      <c r="N98" s="8"/>
      <c r="O98" s="8"/>
      <c r="P98" s="8"/>
    </row>
    <row r="99" spans="1:16" ht="12.75">
      <c r="A99" s="8" t="s">
        <v>18</v>
      </c>
      <c r="B99" s="9">
        <v>45367</v>
      </c>
      <c r="C99" s="8" t="s">
        <v>271</v>
      </c>
      <c r="D99" s="8" t="s">
        <v>36</v>
      </c>
      <c r="E99" s="8">
        <v>4155055276</v>
      </c>
      <c r="F99" s="8">
        <v>4</v>
      </c>
      <c r="G99" s="8">
        <v>5</v>
      </c>
      <c r="H99" s="8">
        <v>5</v>
      </c>
      <c r="I99" s="8">
        <v>10</v>
      </c>
      <c r="J99" s="8">
        <v>5</v>
      </c>
      <c r="K99" s="8">
        <v>5</v>
      </c>
      <c r="L99" s="8">
        <v>7.5</v>
      </c>
      <c r="M99" s="8" t="s">
        <v>272</v>
      </c>
      <c r="N99" s="8" t="s">
        <v>273</v>
      </c>
      <c r="O99" s="8"/>
      <c r="P99" s="8"/>
    </row>
    <row r="100" spans="1:16" ht="12.75">
      <c r="A100" s="8" t="s">
        <v>18</v>
      </c>
      <c r="B100" s="9">
        <v>45367</v>
      </c>
      <c r="C100" s="8" t="s">
        <v>274</v>
      </c>
      <c r="D100" s="8" t="s">
        <v>171</v>
      </c>
      <c r="E100" s="8">
        <v>4206175644</v>
      </c>
      <c r="F100" s="8">
        <v>10</v>
      </c>
      <c r="G100" s="8">
        <v>10</v>
      </c>
      <c r="H100" s="8">
        <v>7.5</v>
      </c>
      <c r="I100" s="8">
        <v>10</v>
      </c>
      <c r="J100" s="8">
        <v>10</v>
      </c>
      <c r="K100" s="8">
        <v>10</v>
      </c>
      <c r="L100" s="8">
        <v>10</v>
      </c>
      <c r="M100" s="8" t="s">
        <v>275</v>
      </c>
      <c r="N100" s="8" t="s">
        <v>276</v>
      </c>
      <c r="O100" s="8"/>
      <c r="P100" s="8"/>
    </row>
    <row r="101" spans="1:16" ht="12.75">
      <c r="A101" s="8" t="s">
        <v>18</v>
      </c>
      <c r="B101" s="9">
        <v>45366</v>
      </c>
      <c r="C101" s="8" t="s">
        <v>277</v>
      </c>
      <c r="D101" s="8" t="s">
        <v>45</v>
      </c>
      <c r="E101" s="8">
        <v>4139032316</v>
      </c>
      <c r="F101" s="8">
        <v>10</v>
      </c>
      <c r="G101" s="8">
        <v>10</v>
      </c>
      <c r="H101" s="8">
        <v>10</v>
      </c>
      <c r="I101" s="8">
        <v>10</v>
      </c>
      <c r="J101" s="8">
        <v>10</v>
      </c>
      <c r="K101" s="8">
        <v>10</v>
      </c>
      <c r="L101" s="8">
        <v>10</v>
      </c>
      <c r="M101" s="8"/>
      <c r="N101" s="8"/>
      <c r="O101" s="8"/>
      <c r="P101" s="8"/>
    </row>
    <row r="102" spans="1:16" ht="12.75">
      <c r="A102" s="8" t="s">
        <v>18</v>
      </c>
      <c r="B102" s="9">
        <v>45366</v>
      </c>
      <c r="C102" s="8" t="s">
        <v>278</v>
      </c>
      <c r="D102" s="8" t="s">
        <v>33</v>
      </c>
      <c r="E102" s="8">
        <v>4259913953</v>
      </c>
      <c r="F102" s="8">
        <v>8</v>
      </c>
      <c r="G102" s="8">
        <v>10</v>
      </c>
      <c r="H102" s="8">
        <v>5</v>
      </c>
      <c r="I102" s="8">
        <v>10</v>
      </c>
      <c r="J102" s="8">
        <v>5</v>
      </c>
      <c r="K102" s="8">
        <v>10</v>
      </c>
      <c r="L102" s="8">
        <v>10</v>
      </c>
      <c r="M102" s="8" t="s">
        <v>279</v>
      </c>
      <c r="N102" s="8" t="s">
        <v>280</v>
      </c>
      <c r="O102" s="8"/>
      <c r="P102" s="8"/>
    </row>
    <row r="103" spans="1:16" ht="12.75">
      <c r="A103" s="8" t="s">
        <v>18</v>
      </c>
      <c r="B103" s="9">
        <v>45366</v>
      </c>
      <c r="C103" s="8" t="s">
        <v>281</v>
      </c>
      <c r="D103" s="8" t="s">
        <v>75</v>
      </c>
      <c r="E103" s="8">
        <v>4090474602</v>
      </c>
      <c r="F103" s="8">
        <v>9</v>
      </c>
      <c r="G103" s="8">
        <v>10</v>
      </c>
      <c r="H103" s="8">
        <v>7.5</v>
      </c>
      <c r="I103" s="8">
        <v>10</v>
      </c>
      <c r="J103" s="8">
        <v>7.5</v>
      </c>
      <c r="K103" s="8">
        <v>7.5</v>
      </c>
      <c r="L103" s="8">
        <v>7.5</v>
      </c>
      <c r="M103" s="8"/>
      <c r="N103" s="8"/>
      <c r="O103" s="8"/>
      <c r="P103" s="8"/>
    </row>
    <row r="104" spans="1:16" ht="12.75">
      <c r="A104" s="8" t="s">
        <v>18</v>
      </c>
      <c r="B104" s="9">
        <v>45382</v>
      </c>
      <c r="C104" s="8" t="s">
        <v>282</v>
      </c>
      <c r="D104" s="8" t="s">
        <v>54</v>
      </c>
      <c r="E104" s="8">
        <v>4002658863</v>
      </c>
      <c r="F104" s="8">
        <v>5</v>
      </c>
      <c r="G104" s="8">
        <v>5</v>
      </c>
      <c r="H104" s="8">
        <v>5</v>
      </c>
      <c r="I104" s="8">
        <v>10</v>
      </c>
      <c r="J104" s="8">
        <v>2.5</v>
      </c>
      <c r="K104" s="8">
        <v>5</v>
      </c>
      <c r="L104" s="8">
        <v>2.5</v>
      </c>
      <c r="M104" s="8" t="s">
        <v>283</v>
      </c>
      <c r="N104" s="8" t="s">
        <v>284</v>
      </c>
      <c r="O104" s="8" t="s">
        <v>285</v>
      </c>
      <c r="P104" s="8"/>
    </row>
    <row r="105" spans="1:16" ht="12.75">
      <c r="A105" s="8" t="s">
        <v>18</v>
      </c>
      <c r="B105" s="9">
        <v>45382</v>
      </c>
      <c r="C105" s="8" t="s">
        <v>286</v>
      </c>
      <c r="D105" s="8" t="s">
        <v>148</v>
      </c>
      <c r="E105" s="8">
        <v>4006882377</v>
      </c>
      <c r="F105" s="8">
        <v>10</v>
      </c>
      <c r="G105" s="8">
        <v>10</v>
      </c>
      <c r="H105" s="8">
        <v>7.5</v>
      </c>
      <c r="I105" s="8">
        <v>10</v>
      </c>
      <c r="J105" s="8">
        <v>10</v>
      </c>
      <c r="K105" s="8">
        <v>10</v>
      </c>
      <c r="L105" s="8">
        <v>10</v>
      </c>
      <c r="M105" s="8"/>
      <c r="N105" s="8"/>
      <c r="O105" s="8"/>
      <c r="P105" s="8"/>
    </row>
    <row r="106" spans="1:16" ht="12.75">
      <c r="A106" s="8" t="s">
        <v>18</v>
      </c>
      <c r="B106" s="9">
        <v>45382</v>
      </c>
      <c r="C106" s="8" t="s">
        <v>287</v>
      </c>
      <c r="D106" s="8" t="s">
        <v>60</v>
      </c>
      <c r="E106" s="8">
        <v>4052668882</v>
      </c>
      <c r="F106" s="8">
        <v>6</v>
      </c>
      <c r="G106" s="8">
        <v>10</v>
      </c>
      <c r="H106" s="8">
        <v>5</v>
      </c>
      <c r="I106" s="8">
        <v>10</v>
      </c>
      <c r="J106" s="8">
        <v>5</v>
      </c>
      <c r="K106" s="8">
        <v>5</v>
      </c>
      <c r="L106" s="8">
        <v>10</v>
      </c>
      <c r="M106" s="8" t="s">
        <v>288</v>
      </c>
      <c r="N106" s="8" t="s">
        <v>289</v>
      </c>
      <c r="O106" s="8"/>
      <c r="P106" s="8"/>
    </row>
    <row r="107" spans="1:16" ht="12.75">
      <c r="A107" s="8" t="s">
        <v>18</v>
      </c>
      <c r="B107" s="9">
        <v>45382</v>
      </c>
      <c r="C107" s="8" t="s">
        <v>290</v>
      </c>
      <c r="D107" s="8" t="s">
        <v>54</v>
      </c>
      <c r="E107" s="8">
        <v>4063162286</v>
      </c>
      <c r="F107" s="8">
        <v>7</v>
      </c>
      <c r="G107" s="8">
        <v>7.5</v>
      </c>
      <c r="H107" s="8">
        <v>7.5</v>
      </c>
      <c r="I107" s="8">
        <v>10</v>
      </c>
      <c r="J107" s="8">
        <v>7.5</v>
      </c>
      <c r="K107" s="8">
        <v>5</v>
      </c>
      <c r="L107" s="8">
        <v>10</v>
      </c>
      <c r="M107" s="8"/>
      <c r="N107" s="8"/>
      <c r="O107" s="8"/>
      <c r="P107" s="8"/>
    </row>
    <row r="108" spans="1:16" ht="12.75">
      <c r="A108" s="8" t="s">
        <v>18</v>
      </c>
      <c r="B108" s="9">
        <v>45382</v>
      </c>
      <c r="C108" s="8" t="s">
        <v>291</v>
      </c>
      <c r="D108" s="8" t="s">
        <v>148</v>
      </c>
      <c r="E108" s="8">
        <v>4081871297</v>
      </c>
      <c r="F108" s="8">
        <v>8</v>
      </c>
      <c r="G108" s="8">
        <v>10</v>
      </c>
      <c r="H108" s="8">
        <v>10</v>
      </c>
      <c r="I108" s="8">
        <v>10</v>
      </c>
      <c r="J108" s="8">
        <v>10</v>
      </c>
      <c r="K108" s="8">
        <v>7.5</v>
      </c>
      <c r="L108" s="8">
        <v>10</v>
      </c>
      <c r="M108" s="8"/>
      <c r="N108" s="8" t="s">
        <v>292</v>
      </c>
      <c r="O108" s="8" t="s">
        <v>293</v>
      </c>
      <c r="P108" s="8"/>
    </row>
    <row r="109" spans="1:16" ht="12.75">
      <c r="A109" s="8" t="s">
        <v>18</v>
      </c>
      <c r="B109" s="9">
        <v>45381</v>
      </c>
      <c r="C109" s="8" t="s">
        <v>294</v>
      </c>
      <c r="D109" s="8" t="s">
        <v>58</v>
      </c>
      <c r="E109" s="8">
        <v>4738548401</v>
      </c>
      <c r="F109" s="8">
        <v>2</v>
      </c>
      <c r="G109" s="8">
        <v>10</v>
      </c>
      <c r="H109" s="8">
        <v>2.5</v>
      </c>
      <c r="I109" s="8">
        <v>10</v>
      </c>
      <c r="J109" s="8">
        <v>2.5</v>
      </c>
      <c r="K109" s="8">
        <v>5</v>
      </c>
      <c r="L109" s="8">
        <v>5</v>
      </c>
      <c r="M109" s="8"/>
      <c r="N109" s="8"/>
      <c r="O109" s="8"/>
      <c r="P109" s="8"/>
    </row>
    <row r="110" spans="1:16" ht="12.75">
      <c r="A110" s="8" t="s">
        <v>18</v>
      </c>
      <c r="B110" s="9">
        <v>45381</v>
      </c>
      <c r="C110" s="8" t="s">
        <v>291</v>
      </c>
      <c r="D110" s="8" t="s">
        <v>148</v>
      </c>
      <c r="E110" s="8">
        <v>4056117384</v>
      </c>
      <c r="F110" s="8">
        <v>8</v>
      </c>
      <c r="G110" s="8">
        <v>7.5</v>
      </c>
      <c r="H110" s="8">
        <v>7.5</v>
      </c>
      <c r="I110" s="8">
        <v>10</v>
      </c>
      <c r="J110" s="8">
        <v>7.5</v>
      </c>
      <c r="K110" s="8">
        <v>7.5</v>
      </c>
      <c r="L110" s="8">
        <v>7.5</v>
      </c>
      <c r="M110" s="8"/>
      <c r="N110" s="8" t="s">
        <v>295</v>
      </c>
      <c r="O110" s="8" t="s">
        <v>293</v>
      </c>
      <c r="P110" s="8"/>
    </row>
    <row r="111" spans="1:16" ht="12.75">
      <c r="A111" s="8" t="s">
        <v>18</v>
      </c>
      <c r="B111" s="9">
        <v>45381</v>
      </c>
      <c r="C111" s="8" t="s">
        <v>296</v>
      </c>
      <c r="D111" s="8" t="s">
        <v>36</v>
      </c>
      <c r="E111" s="8">
        <v>4170115534</v>
      </c>
      <c r="F111" s="8">
        <v>7</v>
      </c>
      <c r="G111" s="8">
        <v>5</v>
      </c>
      <c r="H111" s="8">
        <v>7.5</v>
      </c>
      <c r="I111" s="8">
        <v>10</v>
      </c>
      <c r="J111" s="8">
        <v>5</v>
      </c>
      <c r="K111" s="8">
        <v>10</v>
      </c>
      <c r="L111" s="8">
        <v>10</v>
      </c>
      <c r="M111" s="8"/>
      <c r="N111" s="8"/>
      <c r="O111" s="8"/>
      <c r="P111" s="8"/>
    </row>
    <row r="112" spans="1:16" ht="12.75">
      <c r="A112" s="8" t="s">
        <v>18</v>
      </c>
      <c r="B112" s="9">
        <v>45381</v>
      </c>
      <c r="C112" s="8" t="s">
        <v>297</v>
      </c>
      <c r="D112" s="8" t="s">
        <v>60</v>
      </c>
      <c r="E112" s="8">
        <v>4021052142</v>
      </c>
      <c r="F112" s="8">
        <v>7</v>
      </c>
      <c r="G112" s="8">
        <v>10</v>
      </c>
      <c r="H112" s="8">
        <v>5</v>
      </c>
      <c r="I112" s="8">
        <v>10</v>
      </c>
      <c r="J112" s="8">
        <v>7.5</v>
      </c>
      <c r="K112" s="8">
        <v>7.5</v>
      </c>
      <c r="L112" s="8">
        <v>7.5</v>
      </c>
      <c r="M112" s="8" t="s">
        <v>298</v>
      </c>
      <c r="N112" s="8" t="s">
        <v>299</v>
      </c>
      <c r="O112" s="8" t="s">
        <v>300</v>
      </c>
      <c r="P112" s="8"/>
    </row>
    <row r="113" spans="1:16" ht="12.75">
      <c r="A113" s="8" t="s">
        <v>18</v>
      </c>
      <c r="B113" s="9">
        <v>45380</v>
      </c>
      <c r="C113" s="8" t="s">
        <v>301</v>
      </c>
      <c r="D113" s="8" t="s">
        <v>36</v>
      </c>
      <c r="E113" s="8">
        <v>4224789907</v>
      </c>
      <c r="F113" s="8">
        <v>7</v>
      </c>
      <c r="G113" s="8">
        <v>7.5</v>
      </c>
      <c r="H113" s="8">
        <v>5</v>
      </c>
      <c r="I113" s="8">
        <v>7.5</v>
      </c>
      <c r="J113" s="8">
        <v>5</v>
      </c>
      <c r="K113" s="8">
        <v>7.5</v>
      </c>
      <c r="L113" s="8">
        <v>7.5</v>
      </c>
      <c r="M113" s="8"/>
      <c r="N113" s="8"/>
      <c r="O113" s="8"/>
      <c r="P113" s="8"/>
    </row>
    <row r="114" spans="1:16" ht="12.75">
      <c r="A114" s="8" t="s">
        <v>18</v>
      </c>
      <c r="B114" s="9">
        <v>45380</v>
      </c>
      <c r="C114" s="8" t="s">
        <v>302</v>
      </c>
      <c r="D114" s="8" t="s">
        <v>93</v>
      </c>
      <c r="E114" s="8">
        <v>4647670922</v>
      </c>
      <c r="F114" s="8">
        <v>1</v>
      </c>
      <c r="G114" s="8">
        <v>2.5</v>
      </c>
      <c r="H114" s="8">
        <v>2.5</v>
      </c>
      <c r="I114" s="8">
        <v>7.5</v>
      </c>
      <c r="J114" s="8">
        <v>2.5</v>
      </c>
      <c r="K114" s="8">
        <v>2.5</v>
      </c>
      <c r="L114" s="8">
        <v>2.5</v>
      </c>
      <c r="M114" s="8" t="s">
        <v>303</v>
      </c>
      <c r="N114" s="8" t="s">
        <v>304</v>
      </c>
      <c r="O114" s="8" t="s">
        <v>305</v>
      </c>
      <c r="P114" s="8"/>
    </row>
    <row r="115" spans="1:16" ht="12.75">
      <c r="A115" s="8" t="s">
        <v>18</v>
      </c>
      <c r="B115" s="9">
        <v>45380</v>
      </c>
      <c r="C115" s="8" t="s">
        <v>306</v>
      </c>
      <c r="D115" s="8" t="s">
        <v>307</v>
      </c>
      <c r="E115" s="8">
        <v>4001364898</v>
      </c>
      <c r="F115" s="8">
        <v>10</v>
      </c>
      <c r="G115" s="8">
        <v>10</v>
      </c>
      <c r="H115" s="8">
        <v>10</v>
      </c>
      <c r="I115" s="8">
        <v>10</v>
      </c>
      <c r="J115" s="8">
        <v>10</v>
      </c>
      <c r="K115" s="8">
        <v>10</v>
      </c>
      <c r="L115" s="8">
        <v>10</v>
      </c>
      <c r="M115" s="8" t="s">
        <v>308</v>
      </c>
      <c r="N115" s="8"/>
      <c r="O115" s="8"/>
      <c r="P115" s="8"/>
    </row>
    <row r="116" spans="1:16" ht="12.75">
      <c r="A116" s="8" t="s">
        <v>18</v>
      </c>
      <c r="B116" s="9">
        <v>45379</v>
      </c>
      <c r="C116" s="8" t="s">
        <v>309</v>
      </c>
      <c r="D116" s="8" t="s">
        <v>310</v>
      </c>
      <c r="E116" s="8">
        <v>4179021583</v>
      </c>
      <c r="F116" s="8">
        <v>10</v>
      </c>
      <c r="G116" s="8">
        <v>10</v>
      </c>
      <c r="H116" s="8">
        <v>10</v>
      </c>
      <c r="I116" s="8">
        <v>10</v>
      </c>
      <c r="J116" s="8">
        <v>10</v>
      </c>
      <c r="K116" s="8">
        <v>10</v>
      </c>
      <c r="L116" s="8">
        <v>10</v>
      </c>
      <c r="M116" s="8"/>
      <c r="N116" s="8"/>
      <c r="O116" s="8"/>
      <c r="P116" s="8"/>
    </row>
    <row r="117" spans="1:16" ht="12.75">
      <c r="A117" s="8" t="s">
        <v>18</v>
      </c>
      <c r="B117" s="9">
        <v>45379</v>
      </c>
      <c r="C117" s="8" t="s">
        <v>311</v>
      </c>
      <c r="D117" s="8" t="s">
        <v>60</v>
      </c>
      <c r="E117" s="8">
        <v>4023470166</v>
      </c>
      <c r="F117" s="8">
        <v>8</v>
      </c>
      <c r="G117" s="8">
        <v>7.5</v>
      </c>
      <c r="H117" s="8">
        <v>7.5</v>
      </c>
      <c r="I117" s="8">
        <v>7.5</v>
      </c>
      <c r="J117" s="8">
        <v>7.5</v>
      </c>
      <c r="K117" s="8">
        <v>7.5</v>
      </c>
      <c r="L117" s="8">
        <v>7.5</v>
      </c>
      <c r="M117" s="8" t="s">
        <v>312</v>
      </c>
      <c r="N117" s="8" t="s">
        <v>313</v>
      </c>
      <c r="O117" s="8" t="s">
        <v>300</v>
      </c>
      <c r="P117" s="8"/>
    </row>
    <row r="118" spans="1:16" ht="12.75">
      <c r="A118" s="8" t="s">
        <v>18</v>
      </c>
      <c r="B118" s="9">
        <v>45379</v>
      </c>
      <c r="C118" s="8" t="s">
        <v>314</v>
      </c>
      <c r="D118" s="8" t="s">
        <v>28</v>
      </c>
      <c r="E118" s="8">
        <v>4274969567</v>
      </c>
      <c r="F118" s="8">
        <v>7</v>
      </c>
      <c r="G118" s="8">
        <v>10</v>
      </c>
      <c r="H118" s="8">
        <v>7.5</v>
      </c>
      <c r="I118" s="8">
        <v>10</v>
      </c>
      <c r="J118" s="8">
        <v>7.5</v>
      </c>
      <c r="K118" s="8">
        <v>7.5</v>
      </c>
      <c r="L118" s="8">
        <v>10</v>
      </c>
      <c r="M118" s="8"/>
      <c r="N118" s="8"/>
      <c r="O118" s="8"/>
      <c r="P118" s="8"/>
    </row>
    <row r="119" spans="1:16" ht="12.75">
      <c r="A119" s="8" t="s">
        <v>18</v>
      </c>
      <c r="B119" s="9">
        <v>45379</v>
      </c>
      <c r="C119" s="8" t="s">
        <v>315</v>
      </c>
      <c r="D119" s="8" t="s">
        <v>45</v>
      </c>
      <c r="E119" s="8">
        <v>4012401724</v>
      </c>
      <c r="F119" s="8">
        <v>7</v>
      </c>
      <c r="G119" s="8">
        <v>5</v>
      </c>
      <c r="H119" s="8">
        <v>2.5</v>
      </c>
      <c r="I119" s="8">
        <v>10</v>
      </c>
      <c r="J119" s="8">
        <v>5</v>
      </c>
      <c r="K119" s="8">
        <v>5</v>
      </c>
      <c r="L119" s="8">
        <v>5</v>
      </c>
      <c r="M119" s="8"/>
      <c r="N119" s="8"/>
      <c r="O119" s="8"/>
      <c r="P119" s="8"/>
    </row>
    <row r="120" spans="1:16" ht="12.75">
      <c r="A120" s="8" t="s">
        <v>18</v>
      </c>
      <c r="B120" s="9">
        <v>45379</v>
      </c>
      <c r="C120" s="8" t="s">
        <v>316</v>
      </c>
      <c r="D120" s="8" t="s">
        <v>317</v>
      </c>
      <c r="E120" s="8">
        <v>4124226651</v>
      </c>
      <c r="F120" s="8">
        <v>10</v>
      </c>
      <c r="G120" s="8">
        <v>10</v>
      </c>
      <c r="H120" s="8">
        <v>10</v>
      </c>
      <c r="I120" s="8">
        <v>10</v>
      </c>
      <c r="J120" s="8">
        <v>7.5</v>
      </c>
      <c r="K120" s="8">
        <v>10</v>
      </c>
      <c r="L120" s="8">
        <v>10</v>
      </c>
      <c r="M120" s="8" t="s">
        <v>318</v>
      </c>
      <c r="N120" s="8" t="s">
        <v>319</v>
      </c>
      <c r="O120" s="8"/>
      <c r="P120" s="8"/>
    </row>
    <row r="121" spans="1:16" ht="12.75">
      <c r="A121" s="8" t="s">
        <v>18</v>
      </c>
      <c r="B121" s="9">
        <v>45378</v>
      </c>
      <c r="C121" s="8" t="s">
        <v>320</v>
      </c>
      <c r="D121" s="8" t="s">
        <v>54</v>
      </c>
      <c r="E121" s="8">
        <v>4279315304</v>
      </c>
      <c r="F121" s="8">
        <v>5</v>
      </c>
      <c r="G121" s="8">
        <v>7.5</v>
      </c>
      <c r="H121" s="8">
        <v>5</v>
      </c>
      <c r="I121" s="8">
        <v>7.5</v>
      </c>
      <c r="J121" s="8">
        <v>5</v>
      </c>
      <c r="K121" s="8">
        <v>5</v>
      </c>
      <c r="L121" s="8">
        <v>7.5</v>
      </c>
      <c r="M121" s="8"/>
      <c r="N121" s="8"/>
      <c r="O121" s="8"/>
      <c r="P121" s="8"/>
    </row>
    <row r="122" spans="1:16" ht="12.75">
      <c r="A122" s="8" t="s">
        <v>18</v>
      </c>
      <c r="B122" s="9">
        <v>45378</v>
      </c>
      <c r="C122" s="8" t="s">
        <v>321</v>
      </c>
      <c r="D122" s="8" t="s">
        <v>36</v>
      </c>
      <c r="E122" s="8">
        <v>4004035598</v>
      </c>
      <c r="F122" s="8">
        <v>10</v>
      </c>
      <c r="G122" s="8">
        <v>10</v>
      </c>
      <c r="H122" s="8">
        <v>10</v>
      </c>
      <c r="I122" s="8">
        <v>10</v>
      </c>
      <c r="J122" s="8">
        <v>10</v>
      </c>
      <c r="K122" s="8">
        <v>10</v>
      </c>
      <c r="L122" s="8">
        <v>10</v>
      </c>
      <c r="M122" s="8"/>
      <c r="N122" s="8"/>
      <c r="O122" s="8"/>
      <c r="P122" s="8"/>
    </row>
    <row r="123" spans="1:16" ht="12.75">
      <c r="A123" s="8" t="s">
        <v>18</v>
      </c>
      <c r="B123" s="9">
        <v>45378</v>
      </c>
      <c r="C123" s="8" t="s">
        <v>321</v>
      </c>
      <c r="D123" s="8" t="s">
        <v>36</v>
      </c>
      <c r="E123" s="8">
        <v>4185728672</v>
      </c>
      <c r="F123" s="8">
        <v>10</v>
      </c>
      <c r="G123" s="8">
        <v>10</v>
      </c>
      <c r="H123" s="8">
        <v>10</v>
      </c>
      <c r="I123" s="8">
        <v>10</v>
      </c>
      <c r="J123" s="8">
        <v>10</v>
      </c>
      <c r="K123" s="8">
        <v>10</v>
      </c>
      <c r="L123" s="8">
        <v>10</v>
      </c>
      <c r="M123" s="8"/>
      <c r="N123" s="8"/>
      <c r="O123" s="8"/>
      <c r="P123" s="8"/>
    </row>
    <row r="124" spans="1:16" ht="12.75">
      <c r="A124" s="8" t="s">
        <v>18</v>
      </c>
      <c r="B124" s="9">
        <v>45378</v>
      </c>
      <c r="C124" s="8" t="s">
        <v>322</v>
      </c>
      <c r="D124" s="8" t="s">
        <v>54</v>
      </c>
      <c r="E124" s="8">
        <v>4249825558</v>
      </c>
      <c r="F124" s="8">
        <v>7</v>
      </c>
      <c r="G124" s="8">
        <v>7.5</v>
      </c>
      <c r="H124" s="8">
        <v>7.5</v>
      </c>
      <c r="I124" s="8">
        <v>10</v>
      </c>
      <c r="J124" s="8">
        <v>5</v>
      </c>
      <c r="K124" s="8">
        <v>7.5</v>
      </c>
      <c r="L124" s="8">
        <v>10</v>
      </c>
      <c r="M124" s="8"/>
      <c r="N124" s="8"/>
      <c r="O124" s="8"/>
      <c r="P124" s="8"/>
    </row>
    <row r="125" spans="1:16" ht="12.75">
      <c r="A125" s="8" t="s">
        <v>18</v>
      </c>
      <c r="B125" s="9">
        <v>45377</v>
      </c>
      <c r="C125" s="8" t="s">
        <v>323</v>
      </c>
      <c r="D125" s="8" t="s">
        <v>54</v>
      </c>
      <c r="E125" s="8">
        <v>4023444407</v>
      </c>
      <c r="F125" s="8">
        <v>8</v>
      </c>
      <c r="G125" s="8">
        <v>7.5</v>
      </c>
      <c r="H125" s="8">
        <v>7.5</v>
      </c>
      <c r="I125" s="8">
        <v>10</v>
      </c>
      <c r="J125" s="8">
        <v>7.5</v>
      </c>
      <c r="K125" s="8">
        <v>7.5</v>
      </c>
      <c r="L125" s="8">
        <v>10</v>
      </c>
      <c r="M125" s="8" t="s">
        <v>324</v>
      </c>
      <c r="N125" s="8" t="s">
        <v>325</v>
      </c>
      <c r="O125" s="8" t="s">
        <v>285</v>
      </c>
      <c r="P125" s="8"/>
    </row>
    <row r="126" spans="1:16" ht="12.75">
      <c r="A126" s="8" t="s">
        <v>18</v>
      </c>
      <c r="B126" s="9">
        <v>45377</v>
      </c>
      <c r="C126" s="8" t="s">
        <v>326</v>
      </c>
      <c r="D126" s="8" t="s">
        <v>327</v>
      </c>
      <c r="E126" s="8">
        <v>4070046931</v>
      </c>
      <c r="F126" s="8">
        <v>10</v>
      </c>
      <c r="G126" s="8">
        <v>10</v>
      </c>
      <c r="H126" s="8">
        <v>7.5</v>
      </c>
      <c r="I126" s="8">
        <v>10</v>
      </c>
      <c r="J126" s="8">
        <v>10</v>
      </c>
      <c r="K126" s="8">
        <v>7.5</v>
      </c>
      <c r="L126" s="8">
        <v>10</v>
      </c>
      <c r="M126" s="8"/>
      <c r="N126" s="8"/>
      <c r="O126" s="8"/>
      <c r="P126" s="8"/>
    </row>
    <row r="127" spans="1:16" ht="12.75">
      <c r="A127" s="8" t="s">
        <v>18</v>
      </c>
      <c r="B127" s="9">
        <v>45377</v>
      </c>
      <c r="C127" s="8" t="s">
        <v>326</v>
      </c>
      <c r="D127" s="8" t="s">
        <v>327</v>
      </c>
      <c r="E127" s="8">
        <v>4254499219</v>
      </c>
      <c r="F127" s="8">
        <v>10</v>
      </c>
      <c r="G127" s="8">
        <v>10</v>
      </c>
      <c r="H127" s="8">
        <v>7.5</v>
      </c>
      <c r="I127" s="8">
        <v>10</v>
      </c>
      <c r="J127" s="8">
        <v>10</v>
      </c>
      <c r="K127" s="8">
        <v>7.5</v>
      </c>
      <c r="L127" s="8">
        <v>10</v>
      </c>
      <c r="M127" s="8" t="s">
        <v>328</v>
      </c>
      <c r="N127" s="8" t="s">
        <v>329</v>
      </c>
      <c r="O127" s="8"/>
      <c r="P127" s="8"/>
    </row>
    <row r="128" spans="1:16" ht="12.75">
      <c r="A128" s="8" t="s">
        <v>18</v>
      </c>
      <c r="B128" s="9">
        <v>45377</v>
      </c>
      <c r="C128" s="8" t="s">
        <v>330</v>
      </c>
      <c r="D128" s="8" t="s">
        <v>118</v>
      </c>
      <c r="E128" s="8">
        <v>4002132568</v>
      </c>
      <c r="F128" s="8">
        <v>7</v>
      </c>
      <c r="G128" s="8">
        <v>5</v>
      </c>
      <c r="H128" s="8">
        <v>7.5</v>
      </c>
      <c r="I128" s="8">
        <v>7.5</v>
      </c>
      <c r="J128" s="8">
        <v>5</v>
      </c>
      <c r="K128" s="8">
        <v>7.5</v>
      </c>
      <c r="L128" s="8">
        <v>7.5</v>
      </c>
      <c r="M128" s="8"/>
      <c r="N128" s="8"/>
      <c r="O128" s="8"/>
      <c r="P128" s="8"/>
    </row>
    <row r="129" spans="1:26" ht="12.75">
      <c r="A129" s="8" t="s">
        <v>18</v>
      </c>
      <c r="B129" s="9">
        <v>45376</v>
      </c>
      <c r="C129" s="8" t="s">
        <v>331</v>
      </c>
      <c r="D129" s="8" t="s">
        <v>148</v>
      </c>
      <c r="E129" s="8">
        <v>4019139772</v>
      </c>
      <c r="F129" s="8">
        <v>8</v>
      </c>
      <c r="G129" s="8">
        <v>10</v>
      </c>
      <c r="H129" s="8">
        <v>5</v>
      </c>
      <c r="I129" s="8">
        <v>10</v>
      </c>
      <c r="J129" s="8">
        <v>7.5</v>
      </c>
      <c r="K129" s="8">
        <v>7.5</v>
      </c>
      <c r="L129" s="8">
        <v>7.5</v>
      </c>
      <c r="M129" s="8" t="s">
        <v>332</v>
      </c>
      <c r="N129" s="8" t="s">
        <v>333</v>
      </c>
      <c r="O129" s="8"/>
      <c r="P129" s="8"/>
    </row>
    <row r="130" spans="1:26" ht="12.75">
      <c r="A130" s="8" t="s">
        <v>18</v>
      </c>
      <c r="B130" s="9">
        <v>45376</v>
      </c>
      <c r="C130" s="8" t="s">
        <v>334</v>
      </c>
      <c r="D130" s="8" t="s">
        <v>54</v>
      </c>
      <c r="E130" s="8">
        <v>4096016551</v>
      </c>
      <c r="F130" s="8">
        <v>9</v>
      </c>
      <c r="G130" s="8">
        <v>10</v>
      </c>
      <c r="H130" s="8">
        <v>5</v>
      </c>
      <c r="I130" s="8">
        <v>10</v>
      </c>
      <c r="J130" s="8">
        <v>10</v>
      </c>
      <c r="K130" s="8">
        <v>10</v>
      </c>
      <c r="L130" s="8">
        <v>10</v>
      </c>
      <c r="M130" s="8"/>
      <c r="N130" s="8"/>
      <c r="O130" s="8"/>
      <c r="P130" s="8"/>
    </row>
    <row r="131" spans="1:26" ht="12.75">
      <c r="A131" s="8" t="s">
        <v>18</v>
      </c>
      <c r="B131" s="9">
        <v>45375</v>
      </c>
      <c r="C131" s="8" t="s">
        <v>335</v>
      </c>
      <c r="D131" s="8" t="s">
        <v>54</v>
      </c>
      <c r="E131" s="8">
        <v>4166186480</v>
      </c>
      <c r="F131" s="8">
        <v>8</v>
      </c>
      <c r="G131" s="8">
        <v>10</v>
      </c>
      <c r="H131" s="8">
        <v>10</v>
      </c>
      <c r="I131" s="8">
        <v>10</v>
      </c>
      <c r="J131" s="8">
        <v>10</v>
      </c>
      <c r="K131" s="8">
        <v>7.5</v>
      </c>
      <c r="L131" s="8">
        <v>10</v>
      </c>
      <c r="M131" s="8"/>
      <c r="N131" s="8"/>
      <c r="O131" s="8"/>
      <c r="P131" s="8"/>
    </row>
    <row r="132" spans="1:26" ht="12.75">
      <c r="A132" s="8" t="s">
        <v>18</v>
      </c>
      <c r="B132" s="9">
        <v>45375</v>
      </c>
      <c r="C132" s="8" t="s">
        <v>336</v>
      </c>
      <c r="D132" s="8" t="s">
        <v>337</v>
      </c>
      <c r="E132" s="8">
        <v>4015935597</v>
      </c>
      <c r="F132" s="8">
        <v>10</v>
      </c>
      <c r="G132" s="8">
        <v>10</v>
      </c>
      <c r="H132" s="8">
        <v>10</v>
      </c>
      <c r="I132" s="8">
        <v>10</v>
      </c>
      <c r="J132" s="8">
        <v>10</v>
      </c>
      <c r="K132" s="8">
        <v>10</v>
      </c>
      <c r="L132" s="8">
        <v>10</v>
      </c>
      <c r="M132" s="8" t="s">
        <v>338</v>
      </c>
      <c r="N132" s="8" t="s">
        <v>339</v>
      </c>
      <c r="O132" s="8" t="s">
        <v>340</v>
      </c>
      <c r="P132" s="8"/>
    </row>
    <row r="133" spans="1:26" ht="12.75">
      <c r="A133" s="8" t="s">
        <v>18</v>
      </c>
      <c r="B133" s="9">
        <v>45375</v>
      </c>
      <c r="C133" s="8" t="s">
        <v>341</v>
      </c>
      <c r="D133" s="8" t="s">
        <v>54</v>
      </c>
      <c r="E133" s="8">
        <v>4164441303</v>
      </c>
      <c r="F133" s="8">
        <v>9</v>
      </c>
      <c r="G133" s="8">
        <v>10</v>
      </c>
      <c r="H133" s="8">
        <v>7.5</v>
      </c>
      <c r="I133" s="8">
        <v>10</v>
      </c>
      <c r="J133" s="8">
        <v>10</v>
      </c>
      <c r="K133" s="8">
        <v>7.5</v>
      </c>
      <c r="L133" s="8">
        <v>10</v>
      </c>
      <c r="M133" s="8" t="s">
        <v>342</v>
      </c>
      <c r="N133" s="8" t="s">
        <v>343</v>
      </c>
      <c r="O133" s="8" t="s">
        <v>285</v>
      </c>
      <c r="P133" s="8"/>
    </row>
    <row r="134" spans="1:26" ht="12.75">
      <c r="A134" s="8" t="s">
        <v>18</v>
      </c>
      <c r="B134" s="9">
        <v>45382</v>
      </c>
      <c r="C134" s="8" t="s">
        <v>344</v>
      </c>
      <c r="D134" s="8" t="s">
        <v>123</v>
      </c>
      <c r="E134" s="8">
        <v>4196463898</v>
      </c>
      <c r="F134" s="8">
        <v>5</v>
      </c>
      <c r="G134" s="8">
        <v>7.5</v>
      </c>
      <c r="H134" s="8">
        <v>5</v>
      </c>
      <c r="I134" s="8">
        <v>10</v>
      </c>
      <c r="J134" s="8">
        <v>5</v>
      </c>
      <c r="K134" s="8">
        <v>5</v>
      </c>
      <c r="L134" s="8">
        <v>5</v>
      </c>
      <c r="M134" s="8" t="s">
        <v>345</v>
      </c>
      <c r="N134" s="8" t="s">
        <v>346</v>
      </c>
      <c r="O134" s="8" t="s">
        <v>347</v>
      </c>
      <c r="P134" s="8"/>
    </row>
    <row r="135" spans="1:26" ht="12.75">
      <c r="A135" s="8" t="s">
        <v>18</v>
      </c>
      <c r="B135" s="9">
        <v>45382</v>
      </c>
      <c r="C135" s="8" t="s">
        <v>348</v>
      </c>
      <c r="D135" s="8" t="s">
        <v>349</v>
      </c>
      <c r="E135" s="8">
        <v>4033385915</v>
      </c>
      <c r="F135" s="8">
        <v>7</v>
      </c>
      <c r="G135" s="8">
        <v>7.5</v>
      </c>
      <c r="H135" s="8">
        <v>7.5</v>
      </c>
      <c r="I135" s="8">
        <v>10</v>
      </c>
      <c r="J135" s="8">
        <v>7.5</v>
      </c>
      <c r="K135" s="8">
        <v>7.5</v>
      </c>
      <c r="L135" s="8">
        <v>7.5</v>
      </c>
      <c r="M135" s="8"/>
      <c r="N135" s="8"/>
      <c r="O135" s="8"/>
      <c r="P135" s="8"/>
    </row>
    <row r="136" spans="1:26" ht="12.75">
      <c r="A136" s="8" t="s">
        <v>350</v>
      </c>
      <c r="B136" s="9">
        <v>45364</v>
      </c>
      <c r="C136" s="8" t="s">
        <v>351</v>
      </c>
      <c r="D136" s="8" t="s">
        <v>310</v>
      </c>
      <c r="E136" s="8">
        <v>115309636</v>
      </c>
      <c r="F136" s="8">
        <v>8</v>
      </c>
      <c r="G136" s="8"/>
      <c r="H136" s="8"/>
      <c r="I136" s="8"/>
      <c r="J136" s="8"/>
      <c r="K136" s="8"/>
      <c r="L136" s="8"/>
      <c r="M136" s="8"/>
      <c r="N136" s="8" t="s">
        <v>352</v>
      </c>
      <c r="O136" s="8" t="s">
        <v>353</v>
      </c>
      <c r="P136" s="8"/>
    </row>
    <row r="137" spans="1:26" ht="12.75">
      <c r="A137" s="8" t="s">
        <v>350</v>
      </c>
      <c r="B137" s="9">
        <v>45359</v>
      </c>
      <c r="C137" s="8" t="s">
        <v>354</v>
      </c>
      <c r="D137" s="8" t="s">
        <v>134</v>
      </c>
      <c r="E137" s="8">
        <v>181189783</v>
      </c>
      <c r="F137" s="8">
        <v>10</v>
      </c>
      <c r="G137" s="8"/>
      <c r="H137" s="8"/>
      <c r="I137" s="8"/>
      <c r="J137" s="8"/>
      <c r="K137" s="8"/>
      <c r="L137" s="8"/>
      <c r="M137" s="8" t="s">
        <v>355</v>
      </c>
      <c r="N137" s="8"/>
      <c r="O137" s="8" t="s">
        <v>356</v>
      </c>
      <c r="P137" s="8"/>
    </row>
    <row r="138" spans="1:26" ht="12.75">
      <c r="A138" s="8" t="s">
        <v>357</v>
      </c>
      <c r="B138" s="9">
        <v>45376</v>
      </c>
      <c r="C138" s="10" t="s">
        <v>358</v>
      </c>
      <c r="D138" s="8" t="s">
        <v>134</v>
      </c>
      <c r="E138" s="8">
        <v>560388146</v>
      </c>
      <c r="F138" s="8">
        <v>3.4</v>
      </c>
      <c r="G138" s="8">
        <v>2</v>
      </c>
      <c r="H138" s="8">
        <v>4</v>
      </c>
      <c r="I138" s="8">
        <v>6</v>
      </c>
      <c r="J138" s="8">
        <v>4</v>
      </c>
      <c r="K138" s="8">
        <v>4</v>
      </c>
      <c r="L138" s="8">
        <v>2</v>
      </c>
      <c r="M138" s="8"/>
      <c r="N138" s="8" t="s">
        <v>359</v>
      </c>
      <c r="O138" s="8"/>
      <c r="P138" s="8"/>
    </row>
    <row r="139" spans="1:26" ht="12.75">
      <c r="A139" s="8" t="s">
        <v>357</v>
      </c>
      <c r="B139" s="9">
        <v>45375</v>
      </c>
      <c r="C139" s="10" t="s">
        <v>360</v>
      </c>
      <c r="D139" s="8" t="s">
        <v>54</v>
      </c>
      <c r="E139" s="8">
        <v>560448165</v>
      </c>
      <c r="F139" s="8">
        <v>8.6</v>
      </c>
      <c r="G139" s="8">
        <v>10</v>
      </c>
      <c r="H139" s="8">
        <v>8</v>
      </c>
      <c r="I139" s="8">
        <v>10</v>
      </c>
      <c r="J139" s="8">
        <v>8</v>
      </c>
      <c r="K139" s="8">
        <v>10</v>
      </c>
      <c r="L139" s="8">
        <v>4</v>
      </c>
      <c r="M139" s="8" t="s">
        <v>361</v>
      </c>
      <c r="N139" s="8" t="s">
        <v>362</v>
      </c>
      <c r="O139" s="8"/>
      <c r="P139" s="8"/>
    </row>
    <row r="140" spans="1:26" ht="12.75">
      <c r="A140" s="8" t="s">
        <v>357</v>
      </c>
      <c r="B140" s="9">
        <v>45370</v>
      </c>
      <c r="C140" s="10" t="s">
        <v>363</v>
      </c>
      <c r="D140" s="8" t="s">
        <v>148</v>
      </c>
      <c r="E140" s="8">
        <v>560333187</v>
      </c>
      <c r="F140" s="8">
        <v>8.9</v>
      </c>
      <c r="G140" s="8">
        <v>10</v>
      </c>
      <c r="H140" s="8">
        <v>10</v>
      </c>
      <c r="I140" s="8">
        <v>10</v>
      </c>
      <c r="J140" s="8">
        <v>10</v>
      </c>
      <c r="K140" s="8">
        <v>6</v>
      </c>
      <c r="L140" s="8">
        <v>8</v>
      </c>
      <c r="M140" s="8" t="s">
        <v>364</v>
      </c>
      <c r="N140" s="8"/>
      <c r="O140" s="8" t="s">
        <v>365</v>
      </c>
      <c r="P140" s="8"/>
    </row>
    <row r="141" spans="1:26" ht="12.75">
      <c r="A141" s="8" t="s">
        <v>357</v>
      </c>
      <c r="B141" s="9">
        <v>45359</v>
      </c>
      <c r="C141" s="10" t="s">
        <v>366</v>
      </c>
      <c r="D141" s="8" t="s">
        <v>25</v>
      </c>
      <c r="E141" s="8">
        <v>559743359</v>
      </c>
      <c r="F141" s="8">
        <v>9.4</v>
      </c>
      <c r="G141" s="8">
        <v>10</v>
      </c>
      <c r="H141" s="8">
        <v>8</v>
      </c>
      <c r="I141" s="8">
        <v>10</v>
      </c>
      <c r="J141" s="8">
        <v>10</v>
      </c>
      <c r="K141" s="8">
        <v>10</v>
      </c>
      <c r="L141" s="8">
        <v>10</v>
      </c>
      <c r="M141" s="8"/>
      <c r="N141" s="8"/>
      <c r="O141" s="8"/>
      <c r="P141" s="8"/>
    </row>
    <row r="142" spans="1:26" ht="12.75">
      <c r="A142" s="8" t="s">
        <v>357</v>
      </c>
      <c r="B142" s="9">
        <v>45352</v>
      </c>
      <c r="C142" s="10" t="s">
        <v>367</v>
      </c>
      <c r="D142" s="8" t="s">
        <v>134</v>
      </c>
      <c r="E142" s="8">
        <v>559280929</v>
      </c>
      <c r="F142" s="8">
        <v>10</v>
      </c>
      <c r="G142" s="8">
        <v>10</v>
      </c>
      <c r="H142" s="8">
        <v>10</v>
      </c>
      <c r="I142" s="8">
        <v>10</v>
      </c>
      <c r="J142" s="8">
        <v>10</v>
      </c>
      <c r="K142" s="8">
        <v>10</v>
      </c>
      <c r="L142" s="8">
        <v>10</v>
      </c>
      <c r="M142" s="8" t="s">
        <v>368</v>
      </c>
      <c r="N142" s="8"/>
      <c r="O142" s="8"/>
      <c r="P142" s="8"/>
    </row>
    <row r="143" spans="1:26" ht="12.75">
      <c r="A143" s="8" t="s">
        <v>369</v>
      </c>
      <c r="B143" s="9">
        <v>45353</v>
      </c>
      <c r="C143" s="8" t="s">
        <v>370</v>
      </c>
      <c r="D143" s="8"/>
      <c r="E143" s="8"/>
      <c r="F143" s="8">
        <v>4</v>
      </c>
      <c r="G143" s="8">
        <v>5</v>
      </c>
      <c r="H143" s="8">
        <v>5</v>
      </c>
      <c r="I143" s="8">
        <v>5</v>
      </c>
      <c r="J143" s="8"/>
      <c r="K143" s="8"/>
      <c r="L143" s="8">
        <v>5</v>
      </c>
      <c r="M143" s="8" t="s">
        <v>371</v>
      </c>
      <c r="N143" s="8" t="s">
        <v>372</v>
      </c>
      <c r="O143" s="8" t="s">
        <v>373</v>
      </c>
      <c r="P143" s="8"/>
      <c r="Q143" s="11"/>
      <c r="R143" s="11"/>
      <c r="S143" s="11"/>
      <c r="T143" s="11"/>
      <c r="U143" s="11"/>
      <c r="V143" s="11"/>
      <c r="W143" s="11"/>
      <c r="X143" s="11"/>
      <c r="Y143" s="11"/>
      <c r="Z143" s="11"/>
    </row>
    <row r="144" spans="1:26" ht="12.75">
      <c r="A144" s="8" t="s">
        <v>369</v>
      </c>
      <c r="B144" s="12">
        <v>45358</v>
      </c>
      <c r="C144" s="13" t="s">
        <v>374</v>
      </c>
      <c r="D144" s="13"/>
      <c r="E144" s="13"/>
      <c r="F144" s="14">
        <v>3</v>
      </c>
      <c r="G144" s="13"/>
      <c r="H144" s="14">
        <v>4</v>
      </c>
      <c r="I144" s="14">
        <v>5</v>
      </c>
      <c r="J144" s="13"/>
      <c r="K144" s="13"/>
      <c r="L144" s="14">
        <v>2</v>
      </c>
      <c r="M144" s="13"/>
      <c r="N144" s="13" t="s">
        <v>375</v>
      </c>
      <c r="O144" s="13" t="s">
        <v>376</v>
      </c>
      <c r="P144" s="13"/>
      <c r="Q144" s="13"/>
      <c r="R144" s="13"/>
      <c r="S144" s="13"/>
      <c r="T144" s="13"/>
      <c r="U144" s="13"/>
      <c r="V144" s="13"/>
      <c r="W144" s="13"/>
      <c r="X144" s="13"/>
      <c r="Y144" s="13"/>
      <c r="Z144" s="13"/>
    </row>
    <row r="145" spans="1:26" ht="12.75">
      <c r="A145" s="8" t="s">
        <v>369</v>
      </c>
      <c r="B145" s="12">
        <v>45359</v>
      </c>
      <c r="C145" s="13" t="s">
        <v>377</v>
      </c>
      <c r="D145" s="13"/>
      <c r="E145" s="13"/>
      <c r="F145" s="14">
        <v>1</v>
      </c>
      <c r="G145" s="13"/>
      <c r="H145" s="14">
        <v>1</v>
      </c>
      <c r="I145" s="14">
        <v>1</v>
      </c>
      <c r="J145" s="13"/>
      <c r="K145" s="13"/>
      <c r="L145" s="13"/>
      <c r="M145" s="13"/>
      <c r="N145" s="13" t="s">
        <v>378</v>
      </c>
      <c r="O145" s="13" t="s">
        <v>379</v>
      </c>
      <c r="P145" s="13"/>
      <c r="Q145" s="13"/>
      <c r="R145" s="13"/>
      <c r="S145" s="13"/>
      <c r="T145" s="13"/>
      <c r="U145" s="13"/>
      <c r="V145" s="13"/>
      <c r="W145" s="13"/>
      <c r="X145" s="13"/>
      <c r="Y145" s="13"/>
      <c r="Z145" s="13"/>
    </row>
    <row r="146" spans="1:26" ht="12.75">
      <c r="A146" s="8" t="s">
        <v>369</v>
      </c>
      <c r="B146" s="12">
        <v>45361</v>
      </c>
      <c r="C146" s="13" t="s">
        <v>380</v>
      </c>
      <c r="D146" s="13"/>
      <c r="E146" s="13"/>
      <c r="F146" s="14">
        <v>5</v>
      </c>
      <c r="G146" s="13"/>
      <c r="H146" s="14">
        <v>5</v>
      </c>
      <c r="I146" s="14">
        <v>5</v>
      </c>
      <c r="J146" s="13"/>
      <c r="K146" s="13"/>
      <c r="L146" s="13"/>
      <c r="M146" s="13" t="s">
        <v>381</v>
      </c>
      <c r="N146" s="13"/>
      <c r="O146" s="13"/>
      <c r="P146" s="13"/>
      <c r="Q146" s="13"/>
      <c r="R146" s="13"/>
      <c r="S146" s="13"/>
      <c r="T146" s="13"/>
      <c r="U146" s="13"/>
      <c r="V146" s="13"/>
      <c r="W146" s="13"/>
      <c r="X146" s="13"/>
      <c r="Y146" s="13"/>
      <c r="Z146" s="13"/>
    </row>
    <row r="147" spans="1:26" ht="12.75">
      <c r="A147" s="8" t="s">
        <v>369</v>
      </c>
      <c r="B147" s="12">
        <v>45381</v>
      </c>
      <c r="C147" s="13" t="s">
        <v>382</v>
      </c>
      <c r="D147" s="13"/>
      <c r="E147" s="13"/>
      <c r="F147" s="14">
        <v>4</v>
      </c>
      <c r="G147" s="13"/>
      <c r="H147" s="14">
        <v>4</v>
      </c>
      <c r="I147" s="14">
        <v>5</v>
      </c>
      <c r="J147" s="13"/>
      <c r="K147" s="13"/>
      <c r="L147" s="13"/>
      <c r="M147" s="13" t="s">
        <v>383</v>
      </c>
      <c r="N147" s="13" t="s">
        <v>384</v>
      </c>
      <c r="O147" s="13" t="s">
        <v>385</v>
      </c>
      <c r="P147" s="13"/>
      <c r="Q147" s="13"/>
      <c r="R147" s="13"/>
      <c r="S147" s="13"/>
      <c r="T147" s="13"/>
      <c r="U147" s="13"/>
      <c r="V147" s="13"/>
      <c r="W147" s="13"/>
      <c r="X147" s="13"/>
      <c r="Y147" s="13"/>
      <c r="Z147" s="13"/>
    </row>
    <row r="148" spans="1:26" ht="12.75">
      <c r="A148" s="8" t="s">
        <v>386</v>
      </c>
      <c r="B148" s="9">
        <v>45368</v>
      </c>
      <c r="C148" s="8" t="s">
        <v>387</v>
      </c>
      <c r="D148" s="8"/>
      <c r="E148" s="8"/>
      <c r="F148" s="15">
        <v>45332</v>
      </c>
      <c r="G148" s="8">
        <v>5</v>
      </c>
      <c r="H148" s="8">
        <v>5</v>
      </c>
      <c r="I148" s="8">
        <v>1</v>
      </c>
      <c r="J148" s="8"/>
      <c r="K148" s="8"/>
      <c r="L148" s="8"/>
      <c r="M148" s="8"/>
      <c r="N148" s="8" t="s">
        <v>388</v>
      </c>
      <c r="O148" s="8"/>
      <c r="P148" s="8"/>
      <c r="Q148" s="8"/>
      <c r="R148" s="8"/>
      <c r="S148" s="8"/>
      <c r="T148" s="8"/>
      <c r="U148" s="8"/>
      <c r="V148" s="8"/>
      <c r="W148" s="8"/>
      <c r="X148" s="8"/>
      <c r="Y148" s="8"/>
      <c r="Z148" s="8"/>
    </row>
    <row r="149" spans="1:26" ht="12.75">
      <c r="A149" s="8" t="s">
        <v>386</v>
      </c>
      <c r="B149" s="9">
        <v>45368</v>
      </c>
      <c r="C149" s="8" t="s">
        <v>389</v>
      </c>
      <c r="D149" s="8"/>
      <c r="E149" s="8"/>
      <c r="F149" s="15">
        <v>45332</v>
      </c>
      <c r="G149" s="8"/>
      <c r="H149" s="8">
        <v>1</v>
      </c>
      <c r="I149" s="8">
        <v>7</v>
      </c>
      <c r="J149" s="8">
        <v>1</v>
      </c>
      <c r="K149" s="8"/>
      <c r="L149" s="8">
        <v>3</v>
      </c>
      <c r="M149" s="8" t="s">
        <v>390</v>
      </c>
      <c r="N149" s="8" t="s">
        <v>391</v>
      </c>
      <c r="O149" s="8" t="s">
        <v>392</v>
      </c>
      <c r="P149" s="8"/>
      <c r="Q149" s="8"/>
      <c r="R149" s="8"/>
      <c r="S149" s="8"/>
      <c r="T149" s="8"/>
      <c r="U149" s="8"/>
      <c r="V149" s="8"/>
      <c r="W149" s="8"/>
      <c r="X149" s="8"/>
      <c r="Y149" s="8"/>
      <c r="Z149" s="8"/>
    </row>
  </sheetData>
  <conditionalFormatting sqref="F1:L1000">
    <cfRule type="cellIs" dxfId="3" priority="1" operator="lessThan">
      <formula>6</formula>
    </cfRule>
  </conditionalFormatting>
  <pageMargins left="0.7" right="0.7" top="0.75" bottom="0.75" header="0.3" footer="0.3"/>
  <headerFooter>
    <oddFooter>&amp;L_x000D_&amp;1#&amp;"Aptos"&amp;10&amp;K000000 Public</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50"/>
  <sheetViews>
    <sheetView workbookViewId="0"/>
  </sheetViews>
  <sheetFormatPr defaultColWidth="12.5703125" defaultRowHeight="15.75" customHeight="1"/>
  <cols>
    <col min="2" max="2" width="20.42578125" customWidth="1"/>
    <col min="4" max="4" width="16.7109375" customWidth="1"/>
    <col min="9" max="9" width="21.42578125" customWidth="1"/>
  </cols>
  <sheetData>
    <row r="1" spans="1:26" ht="26.25" customHeight="1">
      <c r="A1" s="16" t="s">
        <v>5</v>
      </c>
      <c r="B1" s="17" t="s">
        <v>7</v>
      </c>
      <c r="C1" s="17" t="s">
        <v>393</v>
      </c>
      <c r="D1" s="17" t="s">
        <v>394</v>
      </c>
      <c r="E1" s="17" t="s">
        <v>395</v>
      </c>
      <c r="F1" s="17" t="s">
        <v>396</v>
      </c>
      <c r="G1" s="17" t="s">
        <v>397</v>
      </c>
      <c r="H1" s="17" t="s">
        <v>398</v>
      </c>
      <c r="I1" s="18" t="s">
        <v>399</v>
      </c>
      <c r="J1" s="19"/>
      <c r="K1" s="19"/>
      <c r="L1" s="19"/>
      <c r="M1" s="19"/>
      <c r="N1" s="19"/>
      <c r="O1" s="19"/>
      <c r="P1" s="19"/>
      <c r="Q1" s="19"/>
      <c r="R1" s="19"/>
      <c r="S1" s="19"/>
      <c r="T1" s="19"/>
      <c r="U1" s="19"/>
      <c r="V1" s="19"/>
      <c r="W1" s="19"/>
      <c r="X1" s="19"/>
      <c r="Y1" s="19"/>
      <c r="Z1" s="19"/>
    </row>
    <row r="2" spans="1:26" ht="12.75">
      <c r="B2" s="20" t="s">
        <v>400</v>
      </c>
      <c r="C2" s="8">
        <f t="shared" ref="C2:I2" si="0">SUM(C3:C150)</f>
        <v>5</v>
      </c>
      <c r="D2" s="8">
        <f t="shared" si="0"/>
        <v>2</v>
      </c>
      <c r="E2" s="8">
        <f t="shared" si="0"/>
        <v>1</v>
      </c>
      <c r="F2" s="8">
        <f t="shared" si="0"/>
        <v>44</v>
      </c>
      <c r="G2" s="8">
        <f t="shared" si="0"/>
        <v>17</v>
      </c>
      <c r="H2" s="8">
        <f t="shared" si="0"/>
        <v>0</v>
      </c>
      <c r="I2" s="8">
        <f t="shared" si="0"/>
        <v>38</v>
      </c>
    </row>
    <row r="3" spans="1:26" ht="12.75">
      <c r="A3" s="21" t="s">
        <v>19</v>
      </c>
      <c r="B3" s="22">
        <v>4013319734</v>
      </c>
      <c r="C3" s="22"/>
      <c r="D3" s="22"/>
      <c r="E3" s="22"/>
      <c r="F3" s="22">
        <v>1</v>
      </c>
      <c r="G3" s="22"/>
      <c r="H3" s="22"/>
      <c r="I3" s="23">
        <v>1</v>
      </c>
    </row>
    <row r="4" spans="1:26" ht="12.75">
      <c r="A4" s="21" t="s">
        <v>24</v>
      </c>
      <c r="B4" s="22">
        <v>4138169870</v>
      </c>
      <c r="C4" s="22"/>
      <c r="D4" s="22"/>
      <c r="E4" s="22"/>
      <c r="F4" s="22"/>
      <c r="G4" s="22"/>
      <c r="H4" s="22"/>
      <c r="I4" s="23"/>
    </row>
    <row r="5" spans="1:26" ht="12.75">
      <c r="A5" s="21" t="s">
        <v>27</v>
      </c>
      <c r="B5" s="22">
        <v>4261247241</v>
      </c>
      <c r="C5" s="22"/>
      <c r="D5" s="22"/>
      <c r="E5" s="22"/>
      <c r="F5" s="22">
        <v>1</v>
      </c>
      <c r="G5" s="22"/>
      <c r="H5" s="22"/>
      <c r="I5" s="23">
        <v>1</v>
      </c>
    </row>
    <row r="6" spans="1:26" ht="12.75">
      <c r="A6" s="21" t="s">
        <v>32</v>
      </c>
      <c r="B6" s="22">
        <v>4252066412</v>
      </c>
      <c r="C6" s="22"/>
      <c r="D6" s="22"/>
      <c r="E6" s="22"/>
      <c r="F6" s="22"/>
      <c r="G6" s="22"/>
      <c r="H6" s="22"/>
      <c r="I6" s="23"/>
    </row>
    <row r="7" spans="1:26" ht="12.75">
      <c r="A7" s="21" t="s">
        <v>35</v>
      </c>
      <c r="B7" s="22">
        <v>4240480998</v>
      </c>
      <c r="C7" s="22"/>
      <c r="D7" s="22"/>
      <c r="E7" s="22"/>
      <c r="F7" s="22"/>
      <c r="G7" s="22"/>
      <c r="H7" s="22"/>
      <c r="I7" s="23"/>
    </row>
    <row r="8" spans="1:26" ht="12.75">
      <c r="A8" s="21" t="s">
        <v>37</v>
      </c>
      <c r="B8" s="22">
        <v>4185306179</v>
      </c>
      <c r="C8" s="22"/>
      <c r="D8" s="22"/>
      <c r="E8" s="22"/>
      <c r="F8" s="22"/>
      <c r="G8" s="22"/>
      <c r="H8" s="22"/>
      <c r="I8" s="23">
        <v>1</v>
      </c>
    </row>
    <row r="9" spans="1:26" ht="12.75">
      <c r="A9" s="21" t="s">
        <v>42</v>
      </c>
      <c r="B9" s="22">
        <v>4037021730</v>
      </c>
      <c r="C9" s="22"/>
      <c r="D9" s="22"/>
      <c r="E9" s="22"/>
      <c r="F9" s="22"/>
      <c r="G9" s="22"/>
      <c r="H9" s="22"/>
      <c r="I9" s="23"/>
    </row>
    <row r="10" spans="1:26" ht="12.75">
      <c r="A10" s="21" t="s">
        <v>44</v>
      </c>
      <c r="B10" s="22">
        <v>4068608823</v>
      </c>
      <c r="C10" s="22"/>
      <c r="D10" s="22"/>
      <c r="E10" s="22"/>
      <c r="F10" s="22"/>
      <c r="G10" s="22"/>
      <c r="H10" s="22"/>
      <c r="I10" s="23"/>
    </row>
    <row r="11" spans="1:26" ht="12.75">
      <c r="A11" s="21" t="s">
        <v>48</v>
      </c>
      <c r="B11" s="22">
        <v>4017863835</v>
      </c>
      <c r="C11" s="22"/>
      <c r="D11" s="22"/>
      <c r="E11" s="22"/>
      <c r="F11" s="22"/>
      <c r="G11" s="22"/>
      <c r="H11" s="22"/>
      <c r="I11" s="23"/>
    </row>
    <row r="12" spans="1:26" ht="12.75">
      <c r="A12" s="21" t="s">
        <v>49</v>
      </c>
      <c r="B12" s="22">
        <v>4205522315</v>
      </c>
      <c r="C12" s="22"/>
      <c r="D12" s="22"/>
      <c r="E12" s="22"/>
      <c r="F12" s="22">
        <v>1</v>
      </c>
      <c r="G12" s="22"/>
      <c r="H12" s="22"/>
      <c r="I12" s="23">
        <v>1</v>
      </c>
    </row>
    <row r="13" spans="1:26" ht="12.75">
      <c r="A13" s="21" t="s">
        <v>53</v>
      </c>
      <c r="B13" s="22">
        <v>4017823366</v>
      </c>
      <c r="C13" s="22"/>
      <c r="D13" s="22"/>
      <c r="E13" s="22"/>
      <c r="F13" s="22"/>
      <c r="G13" s="22"/>
      <c r="H13" s="22"/>
      <c r="I13" s="23"/>
    </row>
    <row r="14" spans="1:26" ht="12.75">
      <c r="A14" s="21" t="s">
        <v>57</v>
      </c>
      <c r="B14" s="22">
        <v>4090239537</v>
      </c>
      <c r="C14" s="22"/>
      <c r="D14" s="22"/>
      <c r="E14" s="22"/>
      <c r="F14" s="22"/>
      <c r="G14" s="22"/>
      <c r="H14" s="22"/>
      <c r="I14" s="23"/>
    </row>
    <row r="15" spans="1:26" ht="12.75">
      <c r="A15" s="21" t="s">
        <v>59</v>
      </c>
      <c r="B15" s="22">
        <v>4129626554</v>
      </c>
      <c r="C15" s="22"/>
      <c r="D15" s="22"/>
      <c r="E15" s="22"/>
      <c r="F15" s="22">
        <v>1</v>
      </c>
      <c r="G15" s="22"/>
      <c r="H15" s="22"/>
      <c r="I15" s="23">
        <v>1</v>
      </c>
    </row>
    <row r="16" spans="1:26" ht="12.75">
      <c r="A16" s="21" t="s">
        <v>64</v>
      </c>
      <c r="B16" s="22">
        <v>4097074970</v>
      </c>
      <c r="C16" s="22"/>
      <c r="D16" s="22"/>
      <c r="E16" s="22"/>
      <c r="F16" s="22">
        <v>1</v>
      </c>
      <c r="G16" s="22"/>
      <c r="H16" s="22"/>
      <c r="I16" s="23">
        <v>1</v>
      </c>
    </row>
    <row r="17" spans="1:9" ht="12.75">
      <c r="A17" s="21" t="s">
        <v>68</v>
      </c>
      <c r="B17" s="22">
        <v>4223287004</v>
      </c>
      <c r="C17" s="22"/>
      <c r="D17" s="22"/>
      <c r="E17" s="22"/>
      <c r="F17" s="22">
        <v>1</v>
      </c>
      <c r="G17" s="22">
        <v>1</v>
      </c>
      <c r="H17" s="22"/>
      <c r="I17" s="23">
        <v>1</v>
      </c>
    </row>
    <row r="18" spans="1:9" ht="12.75">
      <c r="A18" s="21" t="s">
        <v>73</v>
      </c>
      <c r="B18" s="22">
        <v>4127207188</v>
      </c>
      <c r="C18" s="22"/>
      <c r="D18" s="22"/>
      <c r="E18" s="22"/>
      <c r="F18" s="22"/>
      <c r="G18" s="22"/>
      <c r="H18" s="22"/>
      <c r="I18" s="23"/>
    </row>
    <row r="19" spans="1:9" ht="12.75">
      <c r="A19" s="21" t="s">
        <v>74</v>
      </c>
      <c r="B19" s="22">
        <v>4218912883</v>
      </c>
      <c r="C19" s="22"/>
      <c r="D19" s="22"/>
      <c r="E19" s="22"/>
      <c r="F19" s="22"/>
      <c r="G19" s="22"/>
      <c r="H19" s="22"/>
      <c r="I19" s="23"/>
    </row>
    <row r="20" spans="1:9" ht="12.75">
      <c r="A20" s="21" t="s">
        <v>76</v>
      </c>
      <c r="B20" s="22">
        <v>4195409494</v>
      </c>
      <c r="C20" s="22"/>
      <c r="D20" s="22"/>
      <c r="E20" s="22"/>
      <c r="F20" s="22">
        <v>1</v>
      </c>
      <c r="G20" s="22"/>
      <c r="H20" s="22"/>
      <c r="I20" s="23"/>
    </row>
    <row r="21" spans="1:9" ht="12.75">
      <c r="A21" s="21" t="s">
        <v>80</v>
      </c>
      <c r="B21" s="22">
        <v>4270546390</v>
      </c>
      <c r="C21" s="22"/>
      <c r="D21" s="22"/>
      <c r="E21" s="22"/>
      <c r="F21" s="22">
        <v>1</v>
      </c>
      <c r="G21" s="22">
        <v>1</v>
      </c>
      <c r="H21" s="22"/>
      <c r="I21" s="23"/>
    </row>
    <row r="22" spans="1:9" ht="12.75">
      <c r="A22" s="21" t="s">
        <v>83</v>
      </c>
      <c r="B22" s="22">
        <v>4039683616</v>
      </c>
      <c r="C22" s="22"/>
      <c r="D22" s="22"/>
      <c r="E22" s="22"/>
      <c r="F22" s="22"/>
      <c r="G22" s="22"/>
      <c r="H22" s="22"/>
      <c r="I22" s="23"/>
    </row>
    <row r="23" spans="1:9" ht="12.75">
      <c r="A23" s="21" t="s">
        <v>84</v>
      </c>
      <c r="B23" s="22">
        <v>4210677131</v>
      </c>
      <c r="C23" s="22"/>
      <c r="D23" s="22"/>
      <c r="E23" s="22"/>
      <c r="F23" s="22"/>
      <c r="G23" s="22">
        <v>1</v>
      </c>
      <c r="H23" s="22"/>
      <c r="I23" s="23"/>
    </row>
    <row r="24" spans="1:9" ht="12.75">
      <c r="A24" s="21" t="s">
        <v>89</v>
      </c>
      <c r="B24" s="22">
        <v>4280395163</v>
      </c>
      <c r="C24" s="22"/>
      <c r="D24" s="22"/>
      <c r="E24" s="22"/>
      <c r="F24" s="22"/>
      <c r="G24" s="22"/>
      <c r="H24" s="22"/>
      <c r="I24" s="23"/>
    </row>
    <row r="25" spans="1:9" ht="12.75">
      <c r="A25" s="21" t="s">
        <v>90</v>
      </c>
      <c r="B25" s="22">
        <v>4050628253</v>
      </c>
      <c r="C25" s="22"/>
      <c r="D25" s="22"/>
      <c r="E25" s="22"/>
      <c r="F25" s="22"/>
      <c r="G25" s="22"/>
      <c r="H25" s="22"/>
      <c r="I25" s="23"/>
    </row>
    <row r="26" spans="1:9" ht="12.75">
      <c r="A26" s="21" t="s">
        <v>92</v>
      </c>
      <c r="B26" s="22">
        <v>4276388784</v>
      </c>
      <c r="C26" s="22"/>
      <c r="D26" s="22"/>
      <c r="E26" s="22"/>
      <c r="F26" s="22"/>
      <c r="G26" s="22"/>
      <c r="H26" s="22"/>
      <c r="I26" s="23"/>
    </row>
    <row r="27" spans="1:9" ht="12.75">
      <c r="A27" s="21" t="s">
        <v>94</v>
      </c>
      <c r="B27" s="22">
        <v>4032372364</v>
      </c>
      <c r="C27" s="22"/>
      <c r="D27" s="22"/>
      <c r="E27" s="22"/>
      <c r="F27" s="22"/>
      <c r="G27" s="22"/>
      <c r="H27" s="22"/>
      <c r="I27" s="23"/>
    </row>
    <row r="28" spans="1:9" ht="12.75">
      <c r="A28" s="21" t="s">
        <v>96</v>
      </c>
      <c r="B28" s="22">
        <v>4145425474</v>
      </c>
      <c r="C28" s="22"/>
      <c r="D28" s="22"/>
      <c r="E28" s="22"/>
      <c r="F28" s="22">
        <v>1</v>
      </c>
      <c r="G28" s="22"/>
      <c r="H28" s="22"/>
      <c r="I28" s="23">
        <v>1</v>
      </c>
    </row>
    <row r="29" spans="1:9" ht="12.75">
      <c r="A29" s="21" t="s">
        <v>100</v>
      </c>
      <c r="B29" s="22">
        <v>4056267141</v>
      </c>
      <c r="C29" s="22"/>
      <c r="D29" s="22"/>
      <c r="E29" s="22"/>
      <c r="F29" s="22"/>
      <c r="G29" s="22"/>
      <c r="H29" s="22"/>
      <c r="I29" s="23">
        <v>1</v>
      </c>
    </row>
    <row r="30" spans="1:9" ht="12.75">
      <c r="A30" s="21" t="s">
        <v>104</v>
      </c>
      <c r="B30" s="22">
        <v>4235223090</v>
      </c>
      <c r="C30" s="22">
        <v>1</v>
      </c>
      <c r="D30" s="22"/>
      <c r="E30" s="22"/>
      <c r="F30" s="22">
        <v>1</v>
      </c>
      <c r="G30" s="22"/>
      <c r="H30" s="22"/>
      <c r="I30" s="23">
        <v>1</v>
      </c>
    </row>
    <row r="31" spans="1:9" ht="12.75">
      <c r="A31" s="21" t="s">
        <v>108</v>
      </c>
      <c r="B31" s="22">
        <v>4112706455</v>
      </c>
      <c r="C31" s="22"/>
      <c r="D31" s="22"/>
      <c r="E31" s="22"/>
      <c r="F31" s="22"/>
      <c r="G31" s="22"/>
      <c r="H31" s="22"/>
      <c r="I31" s="23"/>
    </row>
    <row r="32" spans="1:9" ht="12.75">
      <c r="A32" s="21" t="s">
        <v>112</v>
      </c>
      <c r="B32" s="22">
        <v>4133564215</v>
      </c>
      <c r="C32" s="22"/>
      <c r="D32" s="22"/>
      <c r="E32" s="22"/>
      <c r="F32" s="22"/>
      <c r="G32" s="22"/>
      <c r="H32" s="22"/>
      <c r="I32" s="23"/>
    </row>
    <row r="33" spans="1:9" ht="12.75">
      <c r="A33" s="21" t="s">
        <v>113</v>
      </c>
      <c r="B33" s="22">
        <v>4247428992</v>
      </c>
      <c r="C33" s="22"/>
      <c r="D33" s="22"/>
      <c r="E33" s="22"/>
      <c r="F33" s="22">
        <v>1</v>
      </c>
      <c r="G33" s="22"/>
      <c r="H33" s="22"/>
      <c r="I33" s="23">
        <v>1</v>
      </c>
    </row>
    <row r="34" spans="1:9" ht="12.75">
      <c r="A34" s="21" t="s">
        <v>117</v>
      </c>
      <c r="B34" s="22">
        <v>4279156527</v>
      </c>
      <c r="C34" s="22"/>
      <c r="D34" s="22"/>
      <c r="E34" s="22"/>
      <c r="F34" s="22"/>
      <c r="G34" s="22"/>
      <c r="H34" s="22"/>
      <c r="I34" s="23"/>
    </row>
    <row r="35" spans="1:9" ht="12.75">
      <c r="A35" s="21" t="s">
        <v>119</v>
      </c>
      <c r="B35" s="22">
        <v>4237647266</v>
      </c>
      <c r="C35" s="22">
        <v>1</v>
      </c>
      <c r="D35" s="22"/>
      <c r="E35" s="22"/>
      <c r="F35" s="22">
        <v>1</v>
      </c>
      <c r="G35" s="22"/>
      <c r="H35" s="22"/>
      <c r="I35" s="23">
        <v>1</v>
      </c>
    </row>
    <row r="36" spans="1:9" ht="12.75">
      <c r="A36" s="21" t="s">
        <v>122</v>
      </c>
      <c r="B36" s="22">
        <v>4244101244</v>
      </c>
      <c r="C36" s="22"/>
      <c r="D36" s="22"/>
      <c r="E36" s="22"/>
      <c r="F36" s="22"/>
      <c r="G36" s="22"/>
      <c r="H36" s="22"/>
      <c r="I36" s="23"/>
    </row>
    <row r="37" spans="1:9" ht="12.75">
      <c r="A37" s="21" t="s">
        <v>125</v>
      </c>
      <c r="B37" s="22">
        <v>4085342007</v>
      </c>
      <c r="C37" s="22"/>
      <c r="D37" s="22"/>
      <c r="E37" s="22"/>
      <c r="F37" s="22">
        <v>1</v>
      </c>
      <c r="G37" s="22"/>
      <c r="H37" s="22"/>
      <c r="I37" s="23">
        <v>1</v>
      </c>
    </row>
    <row r="38" spans="1:9" ht="12.75">
      <c r="A38" s="21" t="s">
        <v>129</v>
      </c>
      <c r="B38" s="22">
        <v>4220443386</v>
      </c>
      <c r="C38" s="22"/>
      <c r="D38" s="22"/>
      <c r="E38" s="22"/>
      <c r="F38" s="22"/>
      <c r="G38" s="22"/>
      <c r="H38" s="22"/>
      <c r="I38" s="23"/>
    </row>
    <row r="39" spans="1:9" ht="12.75">
      <c r="A39" s="21" t="s">
        <v>131</v>
      </c>
      <c r="B39" s="22">
        <v>4033205488</v>
      </c>
      <c r="C39" s="22"/>
      <c r="D39" s="22"/>
      <c r="E39" s="22"/>
      <c r="F39" s="22"/>
      <c r="G39" s="22"/>
      <c r="H39" s="22"/>
      <c r="I39" s="23"/>
    </row>
    <row r="40" spans="1:9" ht="12.75">
      <c r="A40" s="21" t="s">
        <v>132</v>
      </c>
      <c r="B40" s="22">
        <v>4155129380</v>
      </c>
      <c r="C40" s="22"/>
      <c r="D40" s="22"/>
      <c r="E40" s="22"/>
      <c r="F40" s="22"/>
      <c r="G40" s="22"/>
      <c r="H40" s="22"/>
      <c r="I40" s="23"/>
    </row>
    <row r="41" spans="1:9" ht="12.75">
      <c r="A41" s="21" t="s">
        <v>133</v>
      </c>
      <c r="B41" s="22">
        <v>4290562888</v>
      </c>
      <c r="C41" s="22"/>
      <c r="D41" s="22"/>
      <c r="E41" s="22"/>
      <c r="F41" s="22"/>
      <c r="G41" s="22"/>
      <c r="H41" s="22"/>
      <c r="I41" s="23"/>
    </row>
    <row r="42" spans="1:9" ht="12.75">
      <c r="A42" s="21" t="s">
        <v>135</v>
      </c>
      <c r="B42" s="22">
        <v>4120797541</v>
      </c>
      <c r="C42" s="22">
        <v>1</v>
      </c>
      <c r="D42" s="22"/>
      <c r="E42" s="22"/>
      <c r="F42" s="22">
        <v>1</v>
      </c>
      <c r="G42" s="22"/>
      <c r="H42" s="22"/>
      <c r="I42" s="23">
        <v>1</v>
      </c>
    </row>
    <row r="43" spans="1:9" ht="12.75">
      <c r="A43" s="21" t="s">
        <v>139</v>
      </c>
      <c r="B43" s="22">
        <v>4023591381</v>
      </c>
      <c r="C43" s="22"/>
      <c r="D43" s="22"/>
      <c r="E43" s="22"/>
      <c r="F43" s="22"/>
      <c r="G43" s="22"/>
      <c r="H43" s="22"/>
      <c r="I43" s="23"/>
    </row>
    <row r="44" spans="1:9" ht="12.75">
      <c r="A44" s="21" t="s">
        <v>142</v>
      </c>
      <c r="B44" s="22">
        <v>4059679398</v>
      </c>
      <c r="C44" s="22"/>
      <c r="D44" s="22"/>
      <c r="E44" s="22"/>
      <c r="F44" s="22"/>
      <c r="G44" s="22"/>
      <c r="H44" s="22"/>
      <c r="I44" s="23"/>
    </row>
    <row r="45" spans="1:9" ht="12.75">
      <c r="A45" s="21" t="s">
        <v>143</v>
      </c>
      <c r="B45" s="22">
        <v>4005465303</v>
      </c>
      <c r="C45" s="22">
        <v>1</v>
      </c>
      <c r="D45" s="22"/>
      <c r="E45" s="22"/>
      <c r="F45" s="22">
        <v>1</v>
      </c>
      <c r="G45" s="22">
        <v>1</v>
      </c>
      <c r="H45" s="22"/>
      <c r="I45" s="23">
        <v>1</v>
      </c>
    </row>
    <row r="46" spans="1:9" ht="12.75">
      <c r="A46" s="21" t="s">
        <v>147</v>
      </c>
      <c r="B46" s="22">
        <v>4151658053</v>
      </c>
      <c r="C46" s="22"/>
      <c r="D46" s="22"/>
      <c r="E46" s="22"/>
      <c r="F46" s="22"/>
      <c r="G46" s="22"/>
      <c r="H46" s="22"/>
      <c r="I46" s="23">
        <v>1</v>
      </c>
    </row>
    <row r="47" spans="1:9" ht="12.75">
      <c r="A47" s="21" t="s">
        <v>152</v>
      </c>
      <c r="B47" s="22">
        <v>4250932029</v>
      </c>
      <c r="C47" s="22"/>
      <c r="D47" s="22"/>
      <c r="E47" s="22"/>
      <c r="F47" s="22"/>
      <c r="G47" s="22"/>
      <c r="H47" s="22"/>
      <c r="I47" s="23"/>
    </row>
    <row r="48" spans="1:9" ht="12.75">
      <c r="A48" s="21" t="s">
        <v>153</v>
      </c>
      <c r="B48" s="22">
        <v>4246878628</v>
      </c>
      <c r="C48" s="22"/>
      <c r="D48" s="22"/>
      <c r="E48" s="22"/>
      <c r="F48" s="22">
        <v>1</v>
      </c>
      <c r="G48" s="22"/>
      <c r="H48" s="22"/>
      <c r="I48" s="23"/>
    </row>
    <row r="49" spans="1:9" ht="12.75">
      <c r="A49" s="21" t="s">
        <v>157</v>
      </c>
      <c r="B49" s="22">
        <v>4198236223</v>
      </c>
      <c r="C49" s="22"/>
      <c r="D49" s="22"/>
      <c r="E49" s="22"/>
      <c r="F49" s="22"/>
      <c r="G49" s="22"/>
      <c r="H49" s="22"/>
      <c r="I49" s="23"/>
    </row>
    <row r="50" spans="1:9" ht="12.75">
      <c r="A50" s="21" t="s">
        <v>158</v>
      </c>
      <c r="B50" s="22">
        <v>4046723670</v>
      </c>
      <c r="C50" s="22"/>
      <c r="D50" s="22"/>
      <c r="E50" s="22"/>
      <c r="F50" s="22"/>
      <c r="G50" s="22"/>
      <c r="H50" s="22"/>
      <c r="I50" s="23">
        <v>1</v>
      </c>
    </row>
    <row r="51" spans="1:9" ht="12.75">
      <c r="A51" s="21" t="s">
        <v>162</v>
      </c>
      <c r="B51" s="22">
        <v>4115026750</v>
      </c>
      <c r="C51" s="22"/>
      <c r="D51" s="22"/>
      <c r="E51" s="22"/>
      <c r="F51" s="22"/>
      <c r="G51" s="22"/>
      <c r="H51" s="22"/>
      <c r="I51" s="23"/>
    </row>
    <row r="52" spans="1:9" ht="12.75">
      <c r="A52" s="21" t="s">
        <v>166</v>
      </c>
      <c r="B52" s="22">
        <v>4088717146</v>
      </c>
      <c r="C52" s="22"/>
      <c r="D52" s="22"/>
      <c r="E52" s="22"/>
      <c r="F52" s="22">
        <v>1</v>
      </c>
      <c r="G52" s="22"/>
      <c r="H52" s="22"/>
      <c r="I52" s="23"/>
    </row>
    <row r="53" spans="1:9" ht="12.75">
      <c r="A53" s="21" t="s">
        <v>170</v>
      </c>
      <c r="B53" s="22">
        <v>4039673061</v>
      </c>
      <c r="C53" s="22"/>
      <c r="D53" s="22"/>
      <c r="E53" s="22"/>
      <c r="F53" s="22"/>
      <c r="G53" s="22">
        <v>1</v>
      </c>
      <c r="H53" s="22"/>
      <c r="I53" s="23">
        <v>1</v>
      </c>
    </row>
    <row r="54" spans="1:9" ht="12.75">
      <c r="A54" s="21" t="s">
        <v>175</v>
      </c>
      <c r="B54" s="22">
        <v>4153977087</v>
      </c>
      <c r="C54" s="22"/>
      <c r="D54" s="22"/>
      <c r="E54" s="22"/>
      <c r="F54" s="22"/>
      <c r="G54" s="22"/>
      <c r="H54" s="22"/>
      <c r="I54" s="23"/>
    </row>
    <row r="55" spans="1:9" ht="12.75">
      <c r="A55" s="21" t="s">
        <v>179</v>
      </c>
      <c r="B55" s="22">
        <v>4118296748</v>
      </c>
      <c r="C55" s="22"/>
      <c r="D55" s="22"/>
      <c r="E55" s="22"/>
      <c r="F55" s="22"/>
      <c r="G55" s="22"/>
      <c r="H55" s="22"/>
      <c r="I55" s="23"/>
    </row>
    <row r="56" spans="1:9" ht="12.75">
      <c r="A56" s="21" t="s">
        <v>180</v>
      </c>
      <c r="B56" s="22">
        <v>4284944331</v>
      </c>
      <c r="C56" s="22"/>
      <c r="D56" s="22"/>
      <c r="E56" s="22"/>
      <c r="F56" s="22"/>
      <c r="G56" s="22"/>
      <c r="H56" s="22"/>
      <c r="I56" s="23"/>
    </row>
    <row r="57" spans="1:9" ht="12.75">
      <c r="A57" s="21" t="s">
        <v>184</v>
      </c>
      <c r="B57" s="22">
        <v>4250293275</v>
      </c>
      <c r="C57" s="22"/>
      <c r="D57" s="22"/>
      <c r="E57" s="22"/>
      <c r="F57" s="22"/>
      <c r="G57" s="22"/>
      <c r="H57" s="22"/>
      <c r="I57" s="23"/>
    </row>
    <row r="58" spans="1:9" ht="12.75">
      <c r="A58" s="21" t="s">
        <v>185</v>
      </c>
      <c r="B58" s="22">
        <v>4244180374</v>
      </c>
      <c r="C58" s="22"/>
      <c r="D58" s="22"/>
      <c r="E58" s="22"/>
      <c r="F58" s="22"/>
      <c r="G58" s="22"/>
      <c r="H58" s="22"/>
      <c r="I58" s="23"/>
    </row>
    <row r="59" spans="1:9" ht="12.75">
      <c r="A59" s="21" t="s">
        <v>186</v>
      </c>
      <c r="B59" s="22">
        <v>4147357840</v>
      </c>
      <c r="C59" s="22"/>
      <c r="D59" s="22">
        <v>1</v>
      </c>
      <c r="E59" s="22">
        <v>1</v>
      </c>
      <c r="F59" s="22">
        <v>1</v>
      </c>
      <c r="G59" s="22">
        <v>1</v>
      </c>
      <c r="H59" s="22"/>
      <c r="I59" s="23">
        <v>1</v>
      </c>
    </row>
    <row r="60" spans="1:9" ht="12.75">
      <c r="A60" s="21" t="s">
        <v>189</v>
      </c>
      <c r="B60" s="22">
        <v>4277874146</v>
      </c>
      <c r="C60" s="22"/>
      <c r="D60" s="22"/>
      <c r="E60" s="22"/>
      <c r="F60" s="22"/>
      <c r="G60" s="22"/>
      <c r="H60" s="22"/>
      <c r="I60" s="23"/>
    </row>
    <row r="61" spans="1:9" ht="12.75">
      <c r="A61" s="21" t="s">
        <v>191</v>
      </c>
      <c r="B61" s="22">
        <v>4291648452</v>
      </c>
      <c r="C61" s="22"/>
      <c r="D61" s="22"/>
      <c r="E61" s="22"/>
      <c r="F61" s="22"/>
      <c r="G61" s="22"/>
      <c r="H61" s="22"/>
      <c r="I61" s="23"/>
    </row>
    <row r="62" spans="1:9" ht="12.75">
      <c r="A62" s="21" t="s">
        <v>194</v>
      </c>
      <c r="B62" s="22">
        <v>4280386920</v>
      </c>
      <c r="C62" s="22"/>
      <c r="D62" s="22"/>
      <c r="E62" s="22"/>
      <c r="F62" s="22">
        <v>1</v>
      </c>
      <c r="G62" s="22"/>
      <c r="H62" s="22"/>
      <c r="I62" s="23">
        <v>1</v>
      </c>
    </row>
    <row r="63" spans="1:9" ht="12.75">
      <c r="A63" s="21" t="s">
        <v>199</v>
      </c>
      <c r="B63" s="22">
        <v>4257208065</v>
      </c>
      <c r="C63" s="22"/>
      <c r="D63" s="22"/>
      <c r="E63" s="22"/>
      <c r="F63" s="22"/>
      <c r="G63" s="22"/>
      <c r="H63" s="22"/>
      <c r="I63" s="23"/>
    </row>
    <row r="64" spans="1:9" ht="12.75">
      <c r="A64" s="21" t="s">
        <v>201</v>
      </c>
      <c r="B64" s="22">
        <v>4229076923</v>
      </c>
      <c r="C64" s="22"/>
      <c r="D64" s="22"/>
      <c r="E64" s="22"/>
      <c r="F64" s="22"/>
      <c r="G64" s="22"/>
      <c r="H64" s="22"/>
      <c r="I64" s="23"/>
    </row>
    <row r="65" spans="1:9" ht="12.75">
      <c r="A65" s="21" t="s">
        <v>202</v>
      </c>
      <c r="B65" s="22">
        <v>4203773666</v>
      </c>
      <c r="C65" s="22"/>
      <c r="D65" s="22"/>
      <c r="E65" s="22"/>
      <c r="F65" s="22">
        <v>1</v>
      </c>
      <c r="G65" s="22"/>
      <c r="H65" s="22"/>
      <c r="I65" s="23">
        <v>1</v>
      </c>
    </row>
    <row r="66" spans="1:9" ht="12.75">
      <c r="A66" s="21" t="s">
        <v>206</v>
      </c>
      <c r="B66" s="22">
        <v>4293474988</v>
      </c>
      <c r="C66" s="22"/>
      <c r="D66" s="22"/>
      <c r="E66" s="22"/>
      <c r="F66" s="22">
        <v>1</v>
      </c>
      <c r="G66" s="22">
        <v>1</v>
      </c>
      <c r="H66" s="22"/>
      <c r="I66" s="23">
        <v>1</v>
      </c>
    </row>
    <row r="67" spans="1:9" ht="12.75">
      <c r="A67" s="21" t="s">
        <v>210</v>
      </c>
      <c r="B67" s="22">
        <v>4173154136</v>
      </c>
      <c r="C67" s="22"/>
      <c r="D67" s="22"/>
      <c r="E67" s="22"/>
      <c r="F67" s="22">
        <v>1</v>
      </c>
      <c r="G67" s="22"/>
      <c r="H67" s="22"/>
      <c r="I67" s="23">
        <v>1</v>
      </c>
    </row>
    <row r="68" spans="1:9" ht="12.75">
      <c r="A68" s="21" t="s">
        <v>215</v>
      </c>
      <c r="B68" s="22">
        <v>4257224052</v>
      </c>
      <c r="C68" s="22"/>
      <c r="D68" s="22"/>
      <c r="E68" s="22"/>
      <c r="F68" s="22"/>
      <c r="G68" s="22"/>
      <c r="H68" s="22"/>
      <c r="I68" s="23"/>
    </row>
    <row r="69" spans="1:9" ht="12.75">
      <c r="A69" s="21" t="s">
        <v>219</v>
      </c>
      <c r="B69" s="22">
        <v>4135039281</v>
      </c>
      <c r="C69" s="22"/>
      <c r="D69" s="22"/>
      <c r="E69" s="22"/>
      <c r="F69" s="22"/>
      <c r="G69" s="22"/>
      <c r="H69" s="22"/>
      <c r="I69" s="23"/>
    </row>
    <row r="70" spans="1:9" ht="12.75">
      <c r="A70" s="21" t="s">
        <v>222</v>
      </c>
      <c r="B70" s="22">
        <v>4164432471</v>
      </c>
      <c r="C70" s="22"/>
      <c r="D70" s="22"/>
      <c r="E70" s="22"/>
      <c r="F70" s="22"/>
      <c r="G70" s="22"/>
      <c r="H70" s="22"/>
      <c r="I70" s="23"/>
    </row>
    <row r="71" spans="1:9" ht="12.75">
      <c r="A71" s="21" t="s">
        <v>223</v>
      </c>
      <c r="B71" s="22">
        <v>4164135598</v>
      </c>
      <c r="C71" s="22"/>
      <c r="D71" s="22"/>
      <c r="E71" s="22"/>
      <c r="F71" s="22"/>
      <c r="G71" s="22"/>
      <c r="H71" s="22"/>
      <c r="I71" s="23"/>
    </row>
    <row r="72" spans="1:9" ht="12.75">
      <c r="A72" s="21" t="s">
        <v>224</v>
      </c>
      <c r="B72" s="22">
        <v>4071473345</v>
      </c>
      <c r="C72" s="22"/>
      <c r="D72" s="22"/>
      <c r="E72" s="22"/>
      <c r="F72" s="22"/>
      <c r="G72" s="22"/>
      <c r="H72" s="22"/>
      <c r="I72" s="23"/>
    </row>
    <row r="73" spans="1:9" ht="12.75">
      <c r="A73" s="21" t="s">
        <v>225</v>
      </c>
      <c r="B73" s="22">
        <v>4187720284</v>
      </c>
      <c r="C73" s="22"/>
      <c r="D73" s="22"/>
      <c r="E73" s="22"/>
      <c r="F73" s="22">
        <v>1</v>
      </c>
      <c r="G73" s="22"/>
      <c r="H73" s="22"/>
      <c r="I73" s="23">
        <v>1</v>
      </c>
    </row>
    <row r="74" spans="1:9" ht="12.75">
      <c r="A74" s="21" t="s">
        <v>229</v>
      </c>
      <c r="B74" s="22">
        <v>4270506395</v>
      </c>
      <c r="C74" s="22"/>
      <c r="D74" s="22">
        <v>1</v>
      </c>
      <c r="E74" s="22"/>
      <c r="F74" s="22">
        <v>1</v>
      </c>
      <c r="G74" s="22"/>
      <c r="H74" s="22"/>
      <c r="I74" s="23">
        <v>1</v>
      </c>
    </row>
    <row r="75" spans="1:9" ht="12.75">
      <c r="A75" s="21" t="s">
        <v>401</v>
      </c>
      <c r="B75" s="22">
        <v>4222708092</v>
      </c>
      <c r="C75" s="22"/>
      <c r="D75" s="22"/>
      <c r="E75" s="22"/>
      <c r="F75" s="22">
        <v>1</v>
      </c>
      <c r="G75" s="22"/>
      <c r="H75" s="22"/>
      <c r="I75" s="23"/>
    </row>
    <row r="76" spans="1:9" ht="12.75">
      <c r="A76" s="21" t="s">
        <v>236</v>
      </c>
      <c r="B76" s="22">
        <v>4261433261</v>
      </c>
      <c r="C76" s="22"/>
      <c r="D76" s="22"/>
      <c r="E76" s="22"/>
      <c r="F76" s="22"/>
      <c r="G76" s="22"/>
      <c r="H76" s="22"/>
      <c r="I76" s="23"/>
    </row>
    <row r="77" spans="1:9" ht="12.75">
      <c r="A77" s="21" t="s">
        <v>237</v>
      </c>
      <c r="B77" s="22">
        <v>4185183166</v>
      </c>
      <c r="C77" s="22"/>
      <c r="D77" s="22"/>
      <c r="E77" s="22"/>
      <c r="F77" s="22"/>
      <c r="G77" s="22"/>
      <c r="H77" s="22"/>
      <c r="I77" s="23"/>
    </row>
    <row r="78" spans="1:9" ht="12.75">
      <c r="A78" s="21" t="s">
        <v>238</v>
      </c>
      <c r="B78" s="22">
        <v>4242168629</v>
      </c>
      <c r="C78" s="22"/>
      <c r="D78" s="22"/>
      <c r="E78" s="22"/>
      <c r="F78" s="22"/>
      <c r="G78" s="22">
        <v>1</v>
      </c>
      <c r="H78" s="22"/>
      <c r="I78" s="23"/>
    </row>
    <row r="79" spans="1:9" ht="12.75">
      <c r="A79" s="21" t="s">
        <v>242</v>
      </c>
      <c r="B79" s="22">
        <v>4288550380</v>
      </c>
      <c r="C79" s="22"/>
      <c r="D79" s="22"/>
      <c r="E79" s="22"/>
      <c r="F79" s="22"/>
      <c r="G79" s="22"/>
      <c r="H79" s="22"/>
      <c r="I79" s="23"/>
    </row>
    <row r="80" spans="1:9" ht="12.75">
      <c r="A80" s="21" t="s">
        <v>202</v>
      </c>
      <c r="B80" s="22">
        <v>4128894882</v>
      </c>
      <c r="C80" s="22"/>
      <c r="D80" s="22"/>
      <c r="E80" s="22"/>
      <c r="F80" s="22">
        <v>1</v>
      </c>
      <c r="G80" s="22"/>
      <c r="H80" s="22"/>
      <c r="I80" s="23">
        <v>1</v>
      </c>
    </row>
    <row r="81" spans="1:9" ht="12.75">
      <c r="A81" s="21" t="s">
        <v>245</v>
      </c>
      <c r="B81" s="22">
        <v>4056457052</v>
      </c>
      <c r="C81" s="22"/>
      <c r="D81" s="22"/>
      <c r="E81" s="22"/>
      <c r="F81" s="22">
        <v>1</v>
      </c>
      <c r="G81" s="22"/>
      <c r="H81" s="22"/>
      <c r="I81" s="23"/>
    </row>
    <row r="82" spans="1:9" ht="12.75">
      <c r="A82" s="21" t="s">
        <v>249</v>
      </c>
      <c r="B82" s="22">
        <v>4102431167</v>
      </c>
      <c r="C82" s="22"/>
      <c r="D82" s="22"/>
      <c r="E82" s="22"/>
      <c r="F82" s="22"/>
      <c r="G82" s="22"/>
      <c r="H82" s="22"/>
      <c r="I82" s="23"/>
    </row>
    <row r="83" spans="1:9" ht="12.75">
      <c r="A83" s="21" t="s">
        <v>250</v>
      </c>
      <c r="B83" s="22">
        <v>4254298324</v>
      </c>
      <c r="C83" s="22"/>
      <c r="D83" s="22"/>
      <c r="E83" s="22"/>
      <c r="F83" s="22"/>
      <c r="G83" s="22"/>
      <c r="H83" s="22"/>
      <c r="I83" s="23"/>
    </row>
    <row r="84" spans="1:9" ht="12.75">
      <c r="A84" s="21" t="s">
        <v>251</v>
      </c>
      <c r="B84" s="22">
        <v>4237762685</v>
      </c>
      <c r="C84" s="22"/>
      <c r="D84" s="22"/>
      <c r="E84" s="22"/>
      <c r="F84" s="22"/>
      <c r="G84" s="22"/>
      <c r="H84" s="22"/>
      <c r="I84" s="23"/>
    </row>
    <row r="85" spans="1:9" ht="12.75">
      <c r="A85" s="21" t="s">
        <v>253</v>
      </c>
      <c r="B85" s="22">
        <v>4159283011</v>
      </c>
      <c r="C85" s="22"/>
      <c r="D85" s="22"/>
      <c r="E85" s="22"/>
      <c r="F85" s="22"/>
      <c r="G85" s="22"/>
      <c r="H85" s="22"/>
      <c r="I85" s="23"/>
    </row>
    <row r="86" spans="1:9" ht="12.75">
      <c r="A86" s="21" t="s">
        <v>254</v>
      </c>
      <c r="B86" s="22">
        <v>4098511629</v>
      </c>
      <c r="C86" s="22"/>
      <c r="D86" s="22"/>
      <c r="E86" s="22"/>
      <c r="F86" s="22"/>
      <c r="G86" s="22"/>
      <c r="H86" s="22"/>
      <c r="I86" s="23"/>
    </row>
    <row r="87" spans="1:9" ht="12.75">
      <c r="A87" s="21" t="s">
        <v>255</v>
      </c>
      <c r="B87" s="22">
        <v>4242569354</v>
      </c>
      <c r="C87" s="22"/>
      <c r="D87" s="22"/>
      <c r="E87" s="22"/>
      <c r="F87" s="22"/>
      <c r="G87" s="22"/>
      <c r="H87" s="22"/>
      <c r="I87" s="23"/>
    </row>
    <row r="88" spans="1:9" ht="12.75">
      <c r="A88" s="21" t="s">
        <v>256</v>
      </c>
      <c r="B88" s="22">
        <v>4039179066</v>
      </c>
      <c r="C88" s="22"/>
      <c r="D88" s="22"/>
      <c r="E88" s="22"/>
      <c r="F88" s="22"/>
      <c r="G88" s="22"/>
      <c r="H88" s="22"/>
      <c r="I88" s="23"/>
    </row>
    <row r="89" spans="1:9" ht="12.75">
      <c r="A89" s="21" t="s">
        <v>258</v>
      </c>
      <c r="B89" s="22">
        <v>4104384809</v>
      </c>
      <c r="C89" s="22"/>
      <c r="D89" s="22"/>
      <c r="E89" s="22"/>
      <c r="F89" s="22"/>
      <c r="G89" s="22"/>
      <c r="H89" s="22"/>
      <c r="I89" s="23"/>
    </row>
    <row r="90" spans="1:9" ht="12.75">
      <c r="A90" s="21" t="s">
        <v>135</v>
      </c>
      <c r="B90" s="22">
        <v>4041654593</v>
      </c>
      <c r="C90" s="22"/>
      <c r="D90" s="22"/>
      <c r="E90" s="22"/>
      <c r="F90" s="22"/>
      <c r="G90" s="22"/>
      <c r="H90" s="22"/>
      <c r="I90" s="23"/>
    </row>
    <row r="91" spans="1:9" ht="12.75">
      <c r="A91" s="21" t="s">
        <v>262</v>
      </c>
      <c r="B91" s="22">
        <v>4160417410</v>
      </c>
      <c r="C91" s="22"/>
      <c r="D91" s="22"/>
      <c r="E91" s="22"/>
      <c r="F91" s="22"/>
      <c r="G91" s="22"/>
      <c r="H91" s="22"/>
      <c r="I91" s="23"/>
    </row>
    <row r="92" spans="1:9" ht="12.75">
      <c r="A92" s="21" t="s">
        <v>263</v>
      </c>
      <c r="B92" s="22">
        <v>4270870040</v>
      </c>
      <c r="C92" s="22"/>
      <c r="D92" s="22"/>
      <c r="E92" s="22"/>
      <c r="F92" s="22"/>
      <c r="G92" s="22"/>
      <c r="H92" s="22"/>
      <c r="I92" s="23"/>
    </row>
    <row r="93" spans="1:9" ht="12.75">
      <c r="A93" s="21" t="s">
        <v>264</v>
      </c>
      <c r="B93" s="22">
        <v>4185120675</v>
      </c>
      <c r="C93" s="22"/>
      <c r="D93" s="22"/>
      <c r="E93" s="22"/>
      <c r="F93" s="22"/>
      <c r="G93" s="22"/>
      <c r="H93" s="22"/>
      <c r="I93" s="23"/>
    </row>
    <row r="94" spans="1:9" ht="12.75">
      <c r="A94" s="21" t="s">
        <v>265</v>
      </c>
      <c r="B94" s="22">
        <v>4127420519</v>
      </c>
      <c r="C94" s="22"/>
      <c r="D94" s="22"/>
      <c r="E94" s="22"/>
      <c r="F94" s="22"/>
      <c r="G94" s="22"/>
      <c r="H94" s="22"/>
      <c r="I94" s="23"/>
    </row>
    <row r="95" spans="1:9" ht="12.75">
      <c r="A95" s="21" t="s">
        <v>266</v>
      </c>
      <c r="B95" s="22">
        <v>4151626250</v>
      </c>
      <c r="C95" s="22"/>
      <c r="D95" s="22"/>
      <c r="E95" s="22"/>
      <c r="F95" s="22"/>
      <c r="G95" s="22"/>
      <c r="H95" s="22"/>
      <c r="I95" s="23"/>
    </row>
    <row r="96" spans="1:9" ht="12.75">
      <c r="A96" s="21" t="s">
        <v>267</v>
      </c>
      <c r="B96" s="22">
        <v>4151793716</v>
      </c>
      <c r="C96" s="22"/>
      <c r="D96" s="22"/>
      <c r="E96" s="22"/>
      <c r="F96" s="22"/>
      <c r="G96" s="22"/>
      <c r="H96" s="22"/>
      <c r="I96" s="23"/>
    </row>
    <row r="97" spans="1:9" ht="12.75">
      <c r="A97" s="21" t="s">
        <v>268</v>
      </c>
      <c r="B97" s="22">
        <v>4083863521</v>
      </c>
      <c r="C97" s="22"/>
      <c r="D97" s="22"/>
      <c r="E97" s="22"/>
      <c r="F97" s="22"/>
      <c r="G97" s="22"/>
      <c r="H97" s="22"/>
      <c r="I97" s="23"/>
    </row>
    <row r="98" spans="1:9" ht="12.75">
      <c r="A98" s="21" t="s">
        <v>269</v>
      </c>
      <c r="B98" s="22">
        <v>4145015825</v>
      </c>
      <c r="C98" s="22"/>
      <c r="D98" s="22"/>
      <c r="E98" s="22"/>
      <c r="F98" s="22"/>
      <c r="G98" s="22"/>
      <c r="H98" s="22"/>
      <c r="I98" s="23"/>
    </row>
    <row r="99" spans="1:9" ht="12.75">
      <c r="A99" s="21" t="s">
        <v>270</v>
      </c>
      <c r="B99" s="22">
        <v>4172469777</v>
      </c>
      <c r="C99" s="22"/>
      <c r="D99" s="22"/>
      <c r="E99" s="22"/>
      <c r="F99" s="22"/>
      <c r="G99" s="22"/>
      <c r="H99" s="22"/>
      <c r="I99" s="23"/>
    </row>
    <row r="100" spans="1:9" ht="12.75">
      <c r="A100" s="21" t="s">
        <v>271</v>
      </c>
      <c r="B100" s="22">
        <v>4155055276</v>
      </c>
      <c r="C100" s="22"/>
      <c r="D100" s="22"/>
      <c r="E100" s="22"/>
      <c r="F100" s="22">
        <v>1</v>
      </c>
      <c r="G100" s="22"/>
      <c r="H100" s="22"/>
      <c r="I100" s="23">
        <v>1</v>
      </c>
    </row>
    <row r="101" spans="1:9" ht="12.75">
      <c r="A101" s="21" t="s">
        <v>274</v>
      </c>
      <c r="B101" s="22">
        <v>4206175644</v>
      </c>
      <c r="C101" s="22"/>
      <c r="D101" s="22"/>
      <c r="E101" s="22"/>
      <c r="F101" s="22"/>
      <c r="G101" s="22"/>
      <c r="H101" s="22"/>
      <c r="I101" s="23"/>
    </row>
    <row r="102" spans="1:9" ht="12.75">
      <c r="A102" s="21" t="s">
        <v>277</v>
      </c>
      <c r="B102" s="22">
        <v>4139032316</v>
      </c>
      <c r="C102" s="22"/>
      <c r="D102" s="22"/>
      <c r="E102" s="22"/>
      <c r="F102" s="22"/>
      <c r="G102" s="22"/>
      <c r="H102" s="22"/>
      <c r="I102" s="23"/>
    </row>
    <row r="103" spans="1:9" ht="12.75">
      <c r="A103" s="21" t="s">
        <v>278</v>
      </c>
      <c r="B103" s="22">
        <v>4259913953</v>
      </c>
      <c r="C103" s="22"/>
      <c r="D103" s="22"/>
      <c r="E103" s="22"/>
      <c r="F103" s="22">
        <v>1</v>
      </c>
      <c r="G103" s="22"/>
      <c r="H103" s="22"/>
      <c r="I103" s="23">
        <v>1</v>
      </c>
    </row>
    <row r="104" spans="1:9" ht="12.75">
      <c r="A104" s="21" t="s">
        <v>281</v>
      </c>
      <c r="B104" s="22">
        <v>4090474602</v>
      </c>
      <c r="C104" s="22"/>
      <c r="D104" s="22"/>
      <c r="E104" s="22"/>
      <c r="F104" s="22"/>
      <c r="G104" s="22"/>
      <c r="H104" s="22"/>
      <c r="I104" s="23"/>
    </row>
    <row r="105" spans="1:9" ht="12.75">
      <c r="A105" s="21" t="s">
        <v>282</v>
      </c>
      <c r="B105" s="22">
        <v>4002658863</v>
      </c>
      <c r="C105" s="22"/>
      <c r="D105" s="22"/>
      <c r="E105" s="22"/>
      <c r="F105" s="22">
        <v>1</v>
      </c>
      <c r="G105" s="22">
        <v>1</v>
      </c>
      <c r="H105" s="22"/>
      <c r="I105" s="23">
        <v>1</v>
      </c>
    </row>
    <row r="106" spans="1:9" ht="12.75">
      <c r="A106" s="21" t="s">
        <v>286</v>
      </c>
      <c r="B106" s="22">
        <v>4006882377</v>
      </c>
      <c r="C106" s="22"/>
      <c r="D106" s="22"/>
      <c r="E106" s="22"/>
      <c r="F106" s="22"/>
      <c r="G106" s="22"/>
      <c r="H106" s="22"/>
      <c r="I106" s="23"/>
    </row>
    <row r="107" spans="1:9" ht="12.75">
      <c r="A107" s="21" t="s">
        <v>287</v>
      </c>
      <c r="B107" s="22">
        <v>4052668882</v>
      </c>
      <c r="C107" s="22"/>
      <c r="D107" s="22"/>
      <c r="E107" s="22"/>
      <c r="F107" s="22">
        <v>1</v>
      </c>
      <c r="G107" s="22"/>
      <c r="H107" s="22"/>
      <c r="I107" s="23">
        <v>1</v>
      </c>
    </row>
    <row r="108" spans="1:9" ht="12.75">
      <c r="A108" s="21" t="s">
        <v>290</v>
      </c>
      <c r="B108" s="22">
        <v>4063162286</v>
      </c>
      <c r="C108" s="22"/>
      <c r="D108" s="22"/>
      <c r="E108" s="22"/>
      <c r="F108" s="22"/>
      <c r="G108" s="22"/>
      <c r="H108" s="22"/>
      <c r="I108" s="23"/>
    </row>
    <row r="109" spans="1:9" ht="12.75">
      <c r="A109" s="21" t="s">
        <v>402</v>
      </c>
      <c r="B109" s="22">
        <v>4081871297</v>
      </c>
      <c r="C109" s="22"/>
      <c r="D109" s="22"/>
      <c r="E109" s="22"/>
      <c r="F109" s="22">
        <v>1</v>
      </c>
      <c r="G109" s="22"/>
      <c r="H109" s="22"/>
      <c r="I109" s="23">
        <v>1</v>
      </c>
    </row>
    <row r="110" spans="1:9" ht="12.75">
      <c r="A110" s="21" t="s">
        <v>294</v>
      </c>
      <c r="B110" s="22">
        <v>4738548401</v>
      </c>
      <c r="C110" s="22"/>
      <c r="D110" s="22"/>
      <c r="E110" s="22"/>
      <c r="F110" s="22">
        <v>1</v>
      </c>
      <c r="G110" s="22"/>
      <c r="H110" s="22"/>
      <c r="I110" s="23">
        <v>1</v>
      </c>
    </row>
    <row r="111" spans="1:9" ht="12.75">
      <c r="A111" s="21" t="s">
        <v>403</v>
      </c>
      <c r="B111" s="22">
        <v>4056117384</v>
      </c>
      <c r="C111" s="22"/>
      <c r="D111" s="22"/>
      <c r="E111" s="22"/>
      <c r="F111" s="22">
        <v>1</v>
      </c>
      <c r="G111" s="22"/>
      <c r="H111" s="22"/>
      <c r="I111" s="23"/>
    </row>
    <row r="112" spans="1:9" ht="12.75">
      <c r="A112" s="21" t="s">
        <v>296</v>
      </c>
      <c r="B112" s="22">
        <v>4170115534</v>
      </c>
      <c r="C112" s="22"/>
      <c r="D112" s="22"/>
      <c r="E112" s="22"/>
      <c r="F112" s="22"/>
      <c r="G112" s="22"/>
      <c r="H112" s="22"/>
      <c r="I112" s="23"/>
    </row>
    <row r="113" spans="1:9" ht="12.75">
      <c r="A113" s="21" t="s">
        <v>297</v>
      </c>
      <c r="B113" s="22">
        <v>4021052142</v>
      </c>
      <c r="C113" s="22"/>
      <c r="D113" s="22"/>
      <c r="E113" s="22"/>
      <c r="F113" s="22">
        <v>1</v>
      </c>
      <c r="G113" s="22"/>
      <c r="H113" s="22"/>
      <c r="I113" s="23">
        <v>1</v>
      </c>
    </row>
    <row r="114" spans="1:9" ht="12.75">
      <c r="A114" s="21" t="s">
        <v>301</v>
      </c>
      <c r="B114" s="22">
        <v>4224789907</v>
      </c>
      <c r="C114" s="22"/>
      <c r="D114" s="22"/>
      <c r="E114" s="22"/>
      <c r="F114" s="22"/>
      <c r="G114" s="22"/>
      <c r="H114" s="22"/>
      <c r="I114" s="23"/>
    </row>
    <row r="115" spans="1:9" ht="12.75">
      <c r="A115" s="21" t="s">
        <v>302</v>
      </c>
      <c r="B115" s="22">
        <v>4647670922</v>
      </c>
      <c r="C115" s="22"/>
      <c r="D115" s="22"/>
      <c r="E115" s="22"/>
      <c r="F115" s="22">
        <v>1</v>
      </c>
      <c r="G115" s="22">
        <v>1</v>
      </c>
      <c r="H115" s="22"/>
      <c r="I115" s="23">
        <v>1</v>
      </c>
    </row>
    <row r="116" spans="1:9" ht="12.75">
      <c r="A116" s="21" t="s">
        <v>404</v>
      </c>
      <c r="B116" s="22">
        <v>4001364898</v>
      </c>
      <c r="C116" s="22"/>
      <c r="D116" s="22"/>
      <c r="E116" s="22"/>
      <c r="F116" s="22"/>
      <c r="G116" s="22"/>
      <c r="H116" s="22"/>
      <c r="I116" s="23"/>
    </row>
    <row r="117" spans="1:9" ht="12.75">
      <c r="A117" s="21" t="s">
        <v>309</v>
      </c>
      <c r="B117" s="22">
        <v>4179021583</v>
      </c>
      <c r="C117" s="22"/>
      <c r="D117" s="22"/>
      <c r="E117" s="22"/>
      <c r="F117" s="22"/>
      <c r="G117" s="22"/>
      <c r="H117" s="22"/>
      <c r="I117" s="23"/>
    </row>
    <row r="118" spans="1:9" ht="12.75">
      <c r="A118" s="21" t="s">
        <v>311</v>
      </c>
      <c r="B118" s="22">
        <v>4023470166</v>
      </c>
      <c r="C118" s="22"/>
      <c r="D118" s="22"/>
      <c r="E118" s="22"/>
      <c r="F118" s="22"/>
      <c r="G118" s="22"/>
      <c r="H118" s="22"/>
      <c r="I118" s="23">
        <v>1</v>
      </c>
    </row>
    <row r="119" spans="1:9" ht="12.75">
      <c r="A119" s="21" t="s">
        <v>314</v>
      </c>
      <c r="B119" s="22">
        <v>4274969567</v>
      </c>
      <c r="C119" s="22"/>
      <c r="D119" s="22"/>
      <c r="E119" s="22"/>
      <c r="F119" s="22"/>
      <c r="G119" s="22"/>
      <c r="H119" s="22"/>
      <c r="I119" s="23"/>
    </row>
    <row r="120" spans="1:9" ht="12.75">
      <c r="A120" s="21" t="s">
        <v>315</v>
      </c>
      <c r="B120" s="22">
        <v>4012401724</v>
      </c>
      <c r="C120" s="22"/>
      <c r="D120" s="22"/>
      <c r="E120" s="22"/>
      <c r="F120" s="22"/>
      <c r="G120" s="22"/>
      <c r="H120" s="22"/>
      <c r="I120" s="23"/>
    </row>
    <row r="121" spans="1:9" ht="12.75">
      <c r="A121" s="21" t="s">
        <v>316</v>
      </c>
      <c r="B121" s="22">
        <v>4124226651</v>
      </c>
      <c r="C121" s="22"/>
      <c r="D121" s="22"/>
      <c r="E121" s="22"/>
      <c r="F121" s="22"/>
      <c r="G121" s="22"/>
      <c r="H121" s="22"/>
      <c r="I121" s="23"/>
    </row>
    <row r="122" spans="1:9" ht="12.75">
      <c r="A122" s="21" t="s">
        <v>320</v>
      </c>
      <c r="B122" s="22">
        <v>4279315304</v>
      </c>
      <c r="C122" s="22">
        <v>1</v>
      </c>
      <c r="D122" s="22"/>
      <c r="E122" s="22"/>
      <c r="F122" s="22">
        <v>1</v>
      </c>
      <c r="G122" s="22">
        <v>1</v>
      </c>
      <c r="H122" s="22"/>
      <c r="I122" s="23"/>
    </row>
    <row r="123" spans="1:9" ht="12.75">
      <c r="A123" s="21" t="s">
        <v>321</v>
      </c>
      <c r="B123" s="22">
        <v>4004035598</v>
      </c>
      <c r="C123" s="22"/>
      <c r="D123" s="22"/>
      <c r="E123" s="22"/>
      <c r="F123" s="22"/>
      <c r="G123" s="22"/>
      <c r="H123" s="22"/>
      <c r="I123" s="23"/>
    </row>
    <row r="124" spans="1:9" ht="12.75">
      <c r="A124" s="21" t="s">
        <v>321</v>
      </c>
      <c r="B124" s="22">
        <v>4185728672</v>
      </c>
      <c r="C124" s="22"/>
      <c r="D124" s="22"/>
      <c r="E124" s="22"/>
      <c r="F124" s="22"/>
      <c r="G124" s="22"/>
      <c r="H124" s="22"/>
      <c r="I124" s="23"/>
    </row>
    <row r="125" spans="1:9" ht="12.75">
      <c r="A125" s="21" t="s">
        <v>322</v>
      </c>
      <c r="B125" s="22">
        <v>4249825558</v>
      </c>
      <c r="C125" s="22"/>
      <c r="D125" s="22"/>
      <c r="E125" s="22"/>
      <c r="F125" s="22"/>
      <c r="G125" s="22">
        <v>1</v>
      </c>
      <c r="H125" s="22"/>
      <c r="I125" s="23"/>
    </row>
    <row r="126" spans="1:9" ht="12.75">
      <c r="A126" s="21" t="s">
        <v>323</v>
      </c>
      <c r="B126" s="22">
        <v>4023444407</v>
      </c>
      <c r="C126" s="22"/>
      <c r="D126" s="22"/>
      <c r="E126" s="22"/>
      <c r="F126" s="22">
        <v>1</v>
      </c>
      <c r="G126" s="22"/>
      <c r="H126" s="22"/>
      <c r="I126" s="23"/>
    </row>
    <row r="127" spans="1:9" ht="12.75">
      <c r="A127" s="21" t="s">
        <v>326</v>
      </c>
      <c r="B127" s="22">
        <v>4070046931</v>
      </c>
      <c r="C127" s="22"/>
      <c r="D127" s="22"/>
      <c r="E127" s="22"/>
      <c r="F127" s="22"/>
      <c r="G127" s="22"/>
      <c r="H127" s="22"/>
      <c r="I127" s="23"/>
    </row>
    <row r="128" spans="1:9" ht="12.75">
      <c r="A128" s="21" t="s">
        <v>326</v>
      </c>
      <c r="B128" s="22">
        <v>4254499219</v>
      </c>
      <c r="C128" s="22"/>
      <c r="D128" s="22"/>
      <c r="E128" s="22"/>
      <c r="F128" s="22"/>
      <c r="G128" s="22"/>
      <c r="H128" s="22"/>
      <c r="I128" s="23">
        <v>1</v>
      </c>
    </row>
    <row r="129" spans="1:9" ht="12.75">
      <c r="A129" s="21" t="s">
        <v>330</v>
      </c>
      <c r="B129" s="22">
        <v>4002132568</v>
      </c>
      <c r="C129" s="22"/>
      <c r="D129" s="22"/>
      <c r="E129" s="22"/>
      <c r="F129" s="22"/>
      <c r="G129" s="22">
        <v>1</v>
      </c>
      <c r="H129" s="22"/>
      <c r="I129" s="23"/>
    </row>
    <row r="130" spans="1:9" ht="12.75">
      <c r="A130" s="21" t="s">
        <v>331</v>
      </c>
      <c r="B130" s="22">
        <v>4019139772</v>
      </c>
      <c r="C130" s="22"/>
      <c r="D130" s="22"/>
      <c r="E130" s="22"/>
      <c r="F130" s="22">
        <v>1</v>
      </c>
      <c r="G130" s="22"/>
      <c r="H130" s="22"/>
      <c r="I130" s="23"/>
    </row>
    <row r="131" spans="1:9" ht="12.75">
      <c r="A131" s="21" t="s">
        <v>334</v>
      </c>
      <c r="B131" s="22">
        <v>4096016551</v>
      </c>
      <c r="C131" s="22"/>
      <c r="D131" s="22"/>
      <c r="E131" s="22"/>
      <c r="F131" s="22"/>
      <c r="G131" s="22"/>
      <c r="H131" s="22"/>
      <c r="I131" s="23"/>
    </row>
    <row r="132" spans="1:9" ht="12.75">
      <c r="A132" s="21" t="s">
        <v>335</v>
      </c>
      <c r="B132" s="22">
        <v>4166186480</v>
      </c>
      <c r="C132" s="22"/>
      <c r="D132" s="22"/>
      <c r="E132" s="22"/>
      <c r="F132" s="22"/>
      <c r="G132" s="22"/>
      <c r="H132" s="22"/>
      <c r="I132" s="23"/>
    </row>
    <row r="133" spans="1:9" ht="12.75">
      <c r="A133" s="21" t="s">
        <v>336</v>
      </c>
      <c r="B133" s="22">
        <v>4015935597</v>
      </c>
      <c r="C133" s="22"/>
      <c r="D133" s="22"/>
      <c r="E133" s="22"/>
      <c r="F133" s="22">
        <v>1</v>
      </c>
      <c r="G133" s="22"/>
      <c r="H133" s="22"/>
      <c r="I133" s="23"/>
    </row>
    <row r="134" spans="1:9" ht="12.75">
      <c r="A134" s="21" t="s">
        <v>341</v>
      </c>
      <c r="B134" s="22">
        <v>4164441303</v>
      </c>
      <c r="C134" s="22"/>
      <c r="D134" s="22"/>
      <c r="E134" s="22"/>
      <c r="F134" s="22"/>
      <c r="G134" s="22"/>
      <c r="H134" s="22"/>
      <c r="I134" s="23"/>
    </row>
    <row r="135" spans="1:9" ht="12.75">
      <c r="A135" s="21" t="s">
        <v>344</v>
      </c>
      <c r="B135" s="22">
        <v>4196463898</v>
      </c>
      <c r="C135" s="22"/>
      <c r="D135" s="22"/>
      <c r="E135" s="22"/>
      <c r="F135" s="22">
        <v>1</v>
      </c>
      <c r="G135" s="22"/>
      <c r="H135" s="22"/>
      <c r="I135" s="23"/>
    </row>
    <row r="136" spans="1:9" ht="12.75">
      <c r="A136" s="21" t="s">
        <v>348</v>
      </c>
      <c r="B136" s="22">
        <v>4033385915</v>
      </c>
      <c r="C136" s="22"/>
      <c r="D136" s="22"/>
      <c r="E136" s="22"/>
      <c r="F136" s="22"/>
      <c r="G136" s="22"/>
      <c r="H136" s="22"/>
      <c r="I136" s="23"/>
    </row>
    <row r="137" spans="1:9" ht="12.75">
      <c r="A137" s="21" t="s">
        <v>351</v>
      </c>
      <c r="B137" s="22">
        <v>115309636</v>
      </c>
      <c r="C137" s="22"/>
      <c r="D137" s="22"/>
      <c r="E137" s="22"/>
      <c r="F137" s="22"/>
      <c r="G137" s="22"/>
      <c r="H137" s="22"/>
      <c r="I137" s="23"/>
    </row>
    <row r="138" spans="1:9" ht="12.75">
      <c r="A138" s="21" t="s">
        <v>354</v>
      </c>
      <c r="B138" s="22">
        <v>181189783</v>
      </c>
      <c r="C138" s="22"/>
      <c r="D138" s="22"/>
      <c r="E138" s="22"/>
      <c r="F138" s="22"/>
      <c r="G138" s="22"/>
      <c r="H138" s="22"/>
      <c r="I138" s="23"/>
    </row>
    <row r="139" spans="1:9" ht="12.75">
      <c r="A139" s="21" t="s">
        <v>358</v>
      </c>
      <c r="B139" s="22">
        <v>560388146</v>
      </c>
      <c r="C139" s="22"/>
      <c r="D139" s="22"/>
      <c r="E139" s="22"/>
      <c r="F139" s="22">
        <v>1</v>
      </c>
      <c r="G139" s="22"/>
      <c r="H139" s="22"/>
      <c r="I139" s="23"/>
    </row>
    <row r="140" spans="1:9" ht="12.75">
      <c r="A140" s="21" t="s">
        <v>360</v>
      </c>
      <c r="B140" s="22">
        <v>560448165</v>
      </c>
      <c r="C140" s="22"/>
      <c r="D140" s="22"/>
      <c r="E140" s="22"/>
      <c r="F140" s="22">
        <v>1</v>
      </c>
      <c r="G140" s="22">
        <v>1</v>
      </c>
      <c r="H140" s="22"/>
      <c r="I140" s="23"/>
    </row>
    <row r="141" spans="1:9" ht="12.75">
      <c r="A141" s="21" t="s">
        <v>363</v>
      </c>
      <c r="B141" s="22">
        <v>560333187</v>
      </c>
      <c r="C141" s="22"/>
      <c r="D141" s="22"/>
      <c r="E141" s="22"/>
      <c r="F141" s="22"/>
      <c r="G141" s="22"/>
      <c r="H141" s="22"/>
      <c r="I141" s="23"/>
    </row>
    <row r="142" spans="1:9" ht="12.75">
      <c r="A142" s="21" t="s">
        <v>366</v>
      </c>
      <c r="B142" s="22">
        <v>559743359</v>
      </c>
      <c r="C142" s="22"/>
      <c r="D142" s="22"/>
      <c r="E142" s="22"/>
      <c r="F142" s="22"/>
      <c r="G142" s="22"/>
      <c r="H142" s="22"/>
      <c r="I142" s="23"/>
    </row>
    <row r="143" spans="1:9" ht="12.75">
      <c r="A143" s="21" t="s">
        <v>367</v>
      </c>
      <c r="B143" s="22">
        <v>559280929</v>
      </c>
      <c r="C143" s="22"/>
      <c r="D143" s="22"/>
      <c r="E143" s="22"/>
      <c r="F143" s="22"/>
      <c r="G143" s="22"/>
      <c r="H143" s="22"/>
      <c r="I143" s="23"/>
    </row>
    <row r="144" spans="1:9" ht="12.75">
      <c r="A144" s="21" t="s">
        <v>370</v>
      </c>
      <c r="B144" s="22"/>
      <c r="C144" s="22"/>
      <c r="D144" s="22"/>
      <c r="E144" s="22"/>
      <c r="F144" s="22"/>
      <c r="G144" s="22">
        <v>1</v>
      </c>
      <c r="H144" s="22"/>
      <c r="I144" s="23"/>
    </row>
    <row r="145" spans="1:9" ht="12.75">
      <c r="A145" s="21" t="s">
        <v>374</v>
      </c>
      <c r="B145" s="22"/>
      <c r="C145" s="22"/>
      <c r="D145" s="22"/>
      <c r="E145" s="22"/>
      <c r="F145" s="22"/>
      <c r="G145" s="22">
        <v>1</v>
      </c>
      <c r="H145" s="22"/>
      <c r="I145" s="23">
        <v>1</v>
      </c>
    </row>
    <row r="146" spans="1:9" ht="12.75">
      <c r="A146" s="21" t="s">
        <v>377</v>
      </c>
      <c r="B146" s="22"/>
      <c r="C146" s="22"/>
      <c r="D146" s="22"/>
      <c r="E146" s="22"/>
      <c r="F146" s="22"/>
      <c r="G146" s="22"/>
      <c r="H146" s="22"/>
      <c r="I146" s="23"/>
    </row>
    <row r="147" spans="1:9" ht="12.75">
      <c r="A147" s="21" t="s">
        <v>380</v>
      </c>
      <c r="B147" s="22"/>
      <c r="C147" s="22"/>
      <c r="D147" s="22"/>
      <c r="E147" s="22"/>
      <c r="F147" s="22"/>
      <c r="G147" s="22"/>
      <c r="H147" s="22"/>
      <c r="I147" s="23"/>
    </row>
    <row r="148" spans="1:9" ht="12.75">
      <c r="A148" s="21" t="s">
        <v>382</v>
      </c>
      <c r="B148" s="22"/>
      <c r="C148" s="22"/>
      <c r="D148" s="22"/>
      <c r="E148" s="22"/>
      <c r="F148" s="22"/>
      <c r="G148" s="22"/>
      <c r="H148" s="22"/>
      <c r="I148" s="23"/>
    </row>
    <row r="149" spans="1:9" ht="12.75">
      <c r="A149" s="21" t="s">
        <v>387</v>
      </c>
      <c r="B149" s="22"/>
      <c r="C149" s="22"/>
      <c r="D149" s="22"/>
      <c r="E149" s="22"/>
      <c r="F149" s="22"/>
      <c r="G149" s="22"/>
      <c r="H149" s="22"/>
      <c r="I149" s="23"/>
    </row>
    <row r="150" spans="1:9" ht="12.75">
      <c r="A150" s="24" t="s">
        <v>389</v>
      </c>
      <c r="B150" s="25"/>
      <c r="C150" s="25"/>
      <c r="D150" s="25"/>
      <c r="E150" s="25"/>
      <c r="F150" s="25">
        <v>1</v>
      </c>
      <c r="G150" s="25">
        <v>1</v>
      </c>
      <c r="H150" s="25"/>
      <c r="I150" s="26">
        <v>1</v>
      </c>
    </row>
  </sheetData>
  <pageMargins left="0.7" right="0.7" top="0.75" bottom="0.75" header="0.3" footer="0.3"/>
  <headerFooter>
    <oddFooter>&amp;L_x000D_&amp;1#&amp;"Aptos"&amp;10&amp;K000000 Public</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O142"/>
  <sheetViews>
    <sheetView workbookViewId="0">
      <pane ySplit="1" topLeftCell="A2" activePane="bottomLeft" state="frozen"/>
      <selection pane="bottomLeft" activeCell="B3" sqref="B3"/>
    </sheetView>
  </sheetViews>
  <sheetFormatPr defaultColWidth="12.5703125" defaultRowHeight="15.75" customHeight="1"/>
  <sheetData>
    <row r="1" spans="1:15" ht="15.75" customHeight="1">
      <c r="A1" s="5" t="s">
        <v>3</v>
      </c>
      <c r="B1" s="6" t="s">
        <v>4</v>
      </c>
      <c r="C1" s="5" t="s">
        <v>5</v>
      </c>
      <c r="D1" s="5" t="s">
        <v>6</v>
      </c>
      <c r="E1" s="5" t="s">
        <v>7</v>
      </c>
      <c r="F1" s="7" t="s">
        <v>8</v>
      </c>
      <c r="G1" s="7" t="s">
        <v>9</v>
      </c>
      <c r="H1" s="7" t="s">
        <v>10</v>
      </c>
      <c r="I1" s="7" t="s">
        <v>11</v>
      </c>
      <c r="J1" s="7" t="s">
        <v>12</v>
      </c>
      <c r="K1" s="7" t="s">
        <v>13</v>
      </c>
      <c r="L1" s="7" t="s">
        <v>14</v>
      </c>
      <c r="M1" s="5" t="s">
        <v>15</v>
      </c>
      <c r="N1" s="5" t="s">
        <v>16</v>
      </c>
      <c r="O1" s="5" t="s">
        <v>17</v>
      </c>
    </row>
    <row r="2" spans="1:15">
      <c r="A2" s="8" t="s">
        <v>18</v>
      </c>
      <c r="B2" s="9">
        <v>45390</v>
      </c>
      <c r="C2" s="8" t="s">
        <v>405</v>
      </c>
      <c r="D2" s="8" t="s">
        <v>406</v>
      </c>
      <c r="E2" s="8">
        <v>4744120909</v>
      </c>
      <c r="F2" s="8">
        <v>7</v>
      </c>
      <c r="G2" s="8">
        <v>10</v>
      </c>
      <c r="H2" s="8">
        <v>7.5</v>
      </c>
      <c r="I2" s="8">
        <v>7.5</v>
      </c>
      <c r="J2" s="8">
        <v>7.5</v>
      </c>
      <c r="K2" s="8">
        <v>7.5</v>
      </c>
      <c r="L2" s="8">
        <v>7.5</v>
      </c>
      <c r="M2" s="8" t="s">
        <v>407</v>
      </c>
      <c r="N2" s="8"/>
      <c r="O2" s="8"/>
    </row>
    <row r="3" spans="1:15">
      <c r="A3" s="8" t="s">
        <v>18</v>
      </c>
      <c r="B3" s="9">
        <v>45389</v>
      </c>
      <c r="C3" s="8" t="s">
        <v>408</v>
      </c>
      <c r="D3" s="8" t="s">
        <v>45</v>
      </c>
      <c r="E3" s="8">
        <v>4002379927</v>
      </c>
      <c r="F3" s="8">
        <v>5</v>
      </c>
      <c r="G3" s="8">
        <v>10</v>
      </c>
      <c r="H3" s="8">
        <v>2.5</v>
      </c>
      <c r="I3" s="8">
        <v>10</v>
      </c>
      <c r="J3" s="8">
        <v>5</v>
      </c>
      <c r="K3" s="8">
        <v>5</v>
      </c>
      <c r="L3" s="8">
        <v>7.5</v>
      </c>
      <c r="M3" s="8"/>
      <c r="N3" s="8"/>
      <c r="O3" s="8"/>
    </row>
    <row r="4" spans="1:15">
      <c r="A4" s="8" t="s">
        <v>18</v>
      </c>
      <c r="B4" s="9">
        <v>45389</v>
      </c>
      <c r="C4" s="8" t="s">
        <v>409</v>
      </c>
      <c r="D4" s="8" t="s">
        <v>33</v>
      </c>
      <c r="E4" s="8">
        <v>4649705719</v>
      </c>
      <c r="F4" s="8">
        <v>8</v>
      </c>
      <c r="G4" s="8">
        <v>7.5</v>
      </c>
      <c r="H4" s="8">
        <v>5</v>
      </c>
      <c r="I4" s="8">
        <v>10</v>
      </c>
      <c r="J4" s="8">
        <v>7.5</v>
      </c>
      <c r="K4" s="8">
        <v>7.5</v>
      </c>
      <c r="L4" s="8">
        <v>10</v>
      </c>
      <c r="M4" s="8" t="s">
        <v>410</v>
      </c>
      <c r="N4" s="8"/>
      <c r="O4" s="8"/>
    </row>
    <row r="5" spans="1:15">
      <c r="A5" s="8" t="s">
        <v>18</v>
      </c>
      <c r="B5" s="9">
        <v>45389</v>
      </c>
      <c r="C5" s="8" t="s">
        <v>411</v>
      </c>
      <c r="D5" s="8" t="s">
        <v>54</v>
      </c>
      <c r="E5" s="8">
        <v>4151768567</v>
      </c>
      <c r="F5" s="8">
        <v>1</v>
      </c>
      <c r="G5" s="8">
        <v>5</v>
      </c>
      <c r="H5" s="8">
        <v>2.5</v>
      </c>
      <c r="I5" s="8">
        <v>7.5</v>
      </c>
      <c r="J5" s="8">
        <v>2.5</v>
      </c>
      <c r="K5" s="8">
        <v>2.5</v>
      </c>
      <c r="L5" s="8">
        <v>2.5</v>
      </c>
      <c r="M5" s="8"/>
      <c r="N5" s="8" t="s">
        <v>412</v>
      </c>
      <c r="O5" s="8" t="s">
        <v>413</v>
      </c>
    </row>
    <row r="6" spans="1:15">
      <c r="A6" s="8" t="s">
        <v>18</v>
      </c>
      <c r="B6" s="9">
        <v>45389</v>
      </c>
      <c r="C6" s="8" t="s">
        <v>414</v>
      </c>
      <c r="D6" s="8" t="s">
        <v>20</v>
      </c>
      <c r="E6" s="8">
        <v>4242195490</v>
      </c>
      <c r="F6" s="8">
        <v>7</v>
      </c>
      <c r="G6" s="8">
        <v>10</v>
      </c>
      <c r="H6" s="8">
        <v>7.5</v>
      </c>
      <c r="I6" s="8">
        <v>10</v>
      </c>
      <c r="J6" s="8">
        <v>5</v>
      </c>
      <c r="K6" s="8">
        <v>7.5</v>
      </c>
      <c r="L6" s="8">
        <v>7.5</v>
      </c>
      <c r="M6" s="8"/>
      <c r="N6" s="8"/>
      <c r="O6" s="8"/>
    </row>
    <row r="7" spans="1:15">
      <c r="A7" s="8" t="s">
        <v>18</v>
      </c>
      <c r="B7" s="9">
        <v>45388</v>
      </c>
      <c r="C7" s="8" t="s">
        <v>415</v>
      </c>
      <c r="D7" s="8" t="s">
        <v>416</v>
      </c>
      <c r="E7" s="8">
        <v>4147114239</v>
      </c>
      <c r="F7" s="8">
        <v>4</v>
      </c>
      <c r="G7" s="8">
        <v>5</v>
      </c>
      <c r="H7" s="8">
        <v>5</v>
      </c>
      <c r="I7" s="8">
        <v>10</v>
      </c>
      <c r="J7" s="8">
        <v>2.5</v>
      </c>
      <c r="K7" s="8">
        <v>2.5</v>
      </c>
      <c r="L7" s="8">
        <v>5</v>
      </c>
      <c r="M7" s="8"/>
      <c r="N7" s="8" t="s">
        <v>417</v>
      </c>
      <c r="O7" s="8" t="s">
        <v>413</v>
      </c>
    </row>
    <row r="8" spans="1:15">
      <c r="A8" s="8" t="s">
        <v>18</v>
      </c>
      <c r="B8" s="9">
        <v>45388</v>
      </c>
      <c r="C8" s="8" t="s">
        <v>418</v>
      </c>
      <c r="D8" s="8" t="s">
        <v>20</v>
      </c>
      <c r="E8" s="8">
        <v>4017690908</v>
      </c>
      <c r="F8" s="8">
        <v>8</v>
      </c>
      <c r="G8" s="8">
        <v>10</v>
      </c>
      <c r="H8" s="8">
        <v>7.5</v>
      </c>
      <c r="I8" s="8">
        <v>10</v>
      </c>
      <c r="J8" s="8">
        <v>7.5</v>
      </c>
      <c r="K8" s="8">
        <v>10</v>
      </c>
      <c r="L8" s="8">
        <v>10</v>
      </c>
      <c r="M8" s="8" t="s">
        <v>419</v>
      </c>
      <c r="N8" s="8"/>
      <c r="O8" s="8" t="s">
        <v>420</v>
      </c>
    </row>
    <row r="9" spans="1:15">
      <c r="A9" s="8" t="s">
        <v>18</v>
      </c>
      <c r="B9" s="9">
        <v>45388</v>
      </c>
      <c r="C9" s="8" t="s">
        <v>421</v>
      </c>
      <c r="D9" s="8" t="s">
        <v>93</v>
      </c>
      <c r="E9" s="8">
        <v>4146859303</v>
      </c>
      <c r="F9" s="8">
        <v>7</v>
      </c>
      <c r="G9" s="8">
        <v>10</v>
      </c>
      <c r="H9" s="8">
        <v>7.5</v>
      </c>
      <c r="I9" s="8">
        <v>10</v>
      </c>
      <c r="J9" s="8">
        <v>7.5</v>
      </c>
      <c r="K9" s="8">
        <v>7.5</v>
      </c>
      <c r="L9" s="8">
        <v>7.5</v>
      </c>
      <c r="M9" s="8"/>
      <c r="N9" s="8"/>
      <c r="O9" s="8"/>
    </row>
    <row r="10" spans="1:15">
      <c r="A10" s="8" t="s">
        <v>18</v>
      </c>
      <c r="B10" s="9">
        <v>45388</v>
      </c>
      <c r="C10" s="8" t="s">
        <v>135</v>
      </c>
      <c r="D10" s="8" t="s">
        <v>45</v>
      </c>
      <c r="E10" s="8">
        <v>4497057056</v>
      </c>
      <c r="F10" s="8">
        <v>8</v>
      </c>
      <c r="G10" s="8">
        <v>7.5</v>
      </c>
      <c r="H10" s="8">
        <v>7.5</v>
      </c>
      <c r="I10" s="8">
        <v>7.5</v>
      </c>
      <c r="J10" s="8">
        <v>7.5</v>
      </c>
      <c r="K10" s="8">
        <v>7.5</v>
      </c>
      <c r="L10" s="8">
        <v>7.5</v>
      </c>
      <c r="M10" s="8"/>
      <c r="N10" s="8"/>
      <c r="O10" s="8" t="s">
        <v>422</v>
      </c>
    </row>
    <row r="11" spans="1:15">
      <c r="A11" s="8" t="s">
        <v>18</v>
      </c>
      <c r="B11" s="9">
        <v>45388</v>
      </c>
      <c r="C11" s="8" t="s">
        <v>175</v>
      </c>
      <c r="D11" s="8" t="s">
        <v>25</v>
      </c>
      <c r="E11" s="8">
        <v>4157142991</v>
      </c>
      <c r="F11" s="8">
        <v>6</v>
      </c>
      <c r="G11" s="8">
        <v>5</v>
      </c>
      <c r="H11" s="8">
        <v>7.5</v>
      </c>
      <c r="I11" s="8">
        <v>10</v>
      </c>
      <c r="J11" s="8">
        <v>7.5</v>
      </c>
      <c r="K11" s="8">
        <v>7.5</v>
      </c>
      <c r="L11" s="8">
        <v>5</v>
      </c>
      <c r="M11" s="8" t="s">
        <v>423</v>
      </c>
      <c r="N11" s="8" t="s">
        <v>424</v>
      </c>
      <c r="O11" s="8" t="s">
        <v>425</v>
      </c>
    </row>
    <row r="12" spans="1:15">
      <c r="A12" s="8" t="s">
        <v>18</v>
      </c>
      <c r="B12" s="9">
        <v>45388</v>
      </c>
      <c r="C12" s="8" t="s">
        <v>426</v>
      </c>
      <c r="D12" s="8" t="s">
        <v>190</v>
      </c>
      <c r="E12" s="8">
        <v>4040345127</v>
      </c>
      <c r="F12" s="8">
        <v>10</v>
      </c>
      <c r="G12" s="8">
        <v>10</v>
      </c>
      <c r="H12" s="8">
        <v>10</v>
      </c>
      <c r="I12" s="8">
        <v>10</v>
      </c>
      <c r="J12" s="8">
        <v>10</v>
      </c>
      <c r="K12" s="8">
        <v>10</v>
      </c>
      <c r="L12" s="8">
        <v>10</v>
      </c>
      <c r="M12" s="8" t="s">
        <v>427</v>
      </c>
      <c r="N12" s="8" t="s">
        <v>428</v>
      </c>
      <c r="O12" s="8"/>
    </row>
    <row r="13" spans="1:15">
      <c r="A13" s="8" t="s">
        <v>18</v>
      </c>
      <c r="B13" s="9">
        <v>45388</v>
      </c>
      <c r="C13" s="8" t="s">
        <v>429</v>
      </c>
      <c r="D13" s="8" t="s">
        <v>60</v>
      </c>
      <c r="E13" s="8">
        <v>4761092123</v>
      </c>
      <c r="F13" s="8">
        <v>8</v>
      </c>
      <c r="G13" s="8">
        <v>10</v>
      </c>
      <c r="H13" s="8">
        <v>5</v>
      </c>
      <c r="I13" s="8">
        <v>10</v>
      </c>
      <c r="J13" s="8">
        <v>7.5</v>
      </c>
      <c r="K13" s="8">
        <v>7.5</v>
      </c>
      <c r="L13" s="8">
        <v>10</v>
      </c>
      <c r="M13" s="8"/>
      <c r="N13" s="8"/>
      <c r="O13" s="8" t="s">
        <v>34</v>
      </c>
    </row>
    <row r="14" spans="1:15">
      <c r="A14" s="8" t="s">
        <v>18</v>
      </c>
      <c r="B14" s="9">
        <v>45387</v>
      </c>
      <c r="C14" s="8" t="s">
        <v>430</v>
      </c>
      <c r="D14" s="8" t="s">
        <v>431</v>
      </c>
      <c r="E14" s="8">
        <v>4277842986</v>
      </c>
      <c r="F14" s="8">
        <v>9</v>
      </c>
      <c r="G14" s="8">
        <v>10</v>
      </c>
      <c r="H14" s="8">
        <v>7.5</v>
      </c>
      <c r="I14" s="8">
        <v>10</v>
      </c>
      <c r="J14" s="8">
        <v>10</v>
      </c>
      <c r="K14" s="8">
        <v>10</v>
      </c>
      <c r="L14" s="8">
        <v>7.5</v>
      </c>
      <c r="M14" s="8"/>
      <c r="N14" s="8"/>
      <c r="O14" s="8"/>
    </row>
    <row r="15" spans="1:15">
      <c r="A15" s="8" t="s">
        <v>18</v>
      </c>
      <c r="B15" s="9">
        <v>45386</v>
      </c>
      <c r="C15" s="8" t="s">
        <v>432</v>
      </c>
      <c r="D15" s="8" t="s">
        <v>433</v>
      </c>
      <c r="E15" s="8">
        <v>4200113587</v>
      </c>
      <c r="F15" s="8">
        <v>10</v>
      </c>
      <c r="G15" s="8">
        <v>10</v>
      </c>
      <c r="H15" s="8">
        <v>10</v>
      </c>
      <c r="I15" s="8">
        <v>10</v>
      </c>
      <c r="J15" s="8">
        <v>10</v>
      </c>
      <c r="K15" s="8">
        <v>10</v>
      </c>
      <c r="L15" s="8">
        <v>10</v>
      </c>
      <c r="M15" s="8"/>
      <c r="N15" s="8"/>
      <c r="O15" s="8"/>
    </row>
    <row r="16" spans="1:15">
      <c r="A16" s="8" t="s">
        <v>18</v>
      </c>
      <c r="B16" s="9">
        <v>45386</v>
      </c>
      <c r="C16" s="8" t="s">
        <v>434</v>
      </c>
      <c r="D16" s="8" t="s">
        <v>25</v>
      </c>
      <c r="E16" s="8">
        <v>4418277463</v>
      </c>
      <c r="F16" s="8">
        <v>8</v>
      </c>
      <c r="G16" s="8">
        <v>10</v>
      </c>
      <c r="H16" s="8">
        <v>10</v>
      </c>
      <c r="I16" s="8">
        <v>10</v>
      </c>
      <c r="J16" s="8">
        <v>7.5</v>
      </c>
      <c r="K16" s="8">
        <v>10</v>
      </c>
      <c r="L16" s="8">
        <v>10</v>
      </c>
      <c r="M16" s="8"/>
      <c r="N16" s="8"/>
      <c r="O16" s="8"/>
    </row>
    <row r="17" spans="1:15">
      <c r="A17" s="8" t="s">
        <v>18</v>
      </c>
      <c r="B17" s="9">
        <v>45386</v>
      </c>
      <c r="C17" s="8" t="s">
        <v>435</v>
      </c>
      <c r="D17" s="8" t="s">
        <v>43</v>
      </c>
      <c r="E17" s="8">
        <v>4263577406</v>
      </c>
      <c r="F17" s="8">
        <v>6</v>
      </c>
      <c r="G17" s="8">
        <v>10</v>
      </c>
      <c r="H17" s="8">
        <v>7.5</v>
      </c>
      <c r="I17" s="8">
        <v>10</v>
      </c>
      <c r="J17" s="8">
        <v>7.5</v>
      </c>
      <c r="K17" s="8">
        <v>10</v>
      </c>
      <c r="L17" s="8">
        <v>10</v>
      </c>
      <c r="M17" s="8" t="s">
        <v>436</v>
      </c>
      <c r="N17" s="8"/>
      <c r="O17" s="8"/>
    </row>
    <row r="18" spans="1:15">
      <c r="A18" s="8" t="s">
        <v>18</v>
      </c>
      <c r="B18" s="9">
        <v>45386</v>
      </c>
      <c r="C18" s="8" t="s">
        <v>437</v>
      </c>
      <c r="D18" s="8" t="s">
        <v>36</v>
      </c>
      <c r="E18" s="8">
        <v>4219204745</v>
      </c>
      <c r="F18" s="8">
        <v>8</v>
      </c>
      <c r="G18" s="8">
        <v>10</v>
      </c>
      <c r="H18" s="8">
        <v>7.5</v>
      </c>
      <c r="I18" s="8">
        <v>10</v>
      </c>
      <c r="J18" s="8">
        <v>7.5</v>
      </c>
      <c r="K18" s="8">
        <v>7.5</v>
      </c>
      <c r="L18" s="8">
        <v>10</v>
      </c>
      <c r="M18" s="8"/>
      <c r="N18" s="8"/>
      <c r="O18" s="8"/>
    </row>
    <row r="19" spans="1:15">
      <c r="A19" s="8" t="s">
        <v>18</v>
      </c>
      <c r="B19" s="9">
        <v>45386</v>
      </c>
      <c r="C19" s="8" t="s">
        <v>438</v>
      </c>
      <c r="D19" s="8" t="s">
        <v>439</v>
      </c>
      <c r="E19" s="8">
        <v>4098087430</v>
      </c>
      <c r="F19" s="8">
        <v>4</v>
      </c>
      <c r="G19" s="8">
        <v>5</v>
      </c>
      <c r="H19" s="8">
        <v>2.5</v>
      </c>
      <c r="I19" s="8">
        <v>7.5</v>
      </c>
      <c r="J19" s="8">
        <v>2.5</v>
      </c>
      <c r="K19" s="8">
        <v>2.5</v>
      </c>
      <c r="L19" s="8">
        <v>2.5</v>
      </c>
      <c r="M19" s="8"/>
      <c r="N19" s="8"/>
      <c r="O19" s="8"/>
    </row>
    <row r="20" spans="1:15">
      <c r="A20" s="8" t="s">
        <v>18</v>
      </c>
      <c r="B20" s="9">
        <v>45386</v>
      </c>
      <c r="C20" s="8" t="s">
        <v>440</v>
      </c>
      <c r="D20" s="8" t="s">
        <v>85</v>
      </c>
      <c r="E20" s="8">
        <v>4081834443</v>
      </c>
      <c r="F20" s="8">
        <v>8</v>
      </c>
      <c r="G20" s="8">
        <v>10</v>
      </c>
      <c r="H20" s="8">
        <v>7.5</v>
      </c>
      <c r="I20" s="8">
        <v>10</v>
      </c>
      <c r="J20" s="8">
        <v>5</v>
      </c>
      <c r="K20" s="8">
        <v>5</v>
      </c>
      <c r="L20" s="8">
        <v>10</v>
      </c>
      <c r="M20" s="8" t="s">
        <v>441</v>
      </c>
      <c r="N20" s="8" t="s">
        <v>442</v>
      </c>
      <c r="O20" s="8" t="s">
        <v>34</v>
      </c>
    </row>
    <row r="21" spans="1:15">
      <c r="A21" s="8" t="s">
        <v>18</v>
      </c>
      <c r="B21" s="9">
        <v>45386</v>
      </c>
      <c r="C21" s="8" t="s">
        <v>443</v>
      </c>
      <c r="D21" s="8" t="s">
        <v>36</v>
      </c>
      <c r="E21" s="8">
        <v>4155218169</v>
      </c>
      <c r="F21" s="8">
        <v>10</v>
      </c>
      <c r="G21" s="8">
        <v>10</v>
      </c>
      <c r="H21" s="8">
        <v>10</v>
      </c>
      <c r="I21" s="8">
        <v>10</v>
      </c>
      <c r="J21" s="8">
        <v>10</v>
      </c>
      <c r="K21" s="8">
        <v>10</v>
      </c>
      <c r="L21" s="8">
        <v>10</v>
      </c>
      <c r="M21" s="8" t="s">
        <v>444</v>
      </c>
      <c r="N21" s="8"/>
      <c r="O21" s="8" t="s">
        <v>445</v>
      </c>
    </row>
    <row r="22" spans="1:15">
      <c r="A22" s="8" t="s">
        <v>18</v>
      </c>
      <c r="B22" s="9">
        <v>45385</v>
      </c>
      <c r="C22" s="8" t="s">
        <v>446</v>
      </c>
      <c r="D22" s="8" t="s">
        <v>36</v>
      </c>
      <c r="E22" s="8">
        <v>4061587927</v>
      </c>
      <c r="F22" s="8">
        <v>7</v>
      </c>
      <c r="G22" s="8">
        <v>7.5</v>
      </c>
      <c r="H22" s="8">
        <v>5</v>
      </c>
      <c r="I22" s="8">
        <v>10</v>
      </c>
      <c r="J22" s="8">
        <v>7.5</v>
      </c>
      <c r="K22" s="8">
        <v>7.5</v>
      </c>
      <c r="L22" s="8">
        <v>7.5</v>
      </c>
      <c r="M22" s="8"/>
      <c r="N22" s="8" t="s">
        <v>447</v>
      </c>
      <c r="O22" s="8"/>
    </row>
    <row r="23" spans="1:15">
      <c r="A23" s="8" t="s">
        <v>18</v>
      </c>
      <c r="B23" s="9">
        <v>45384</v>
      </c>
      <c r="C23" s="8" t="s">
        <v>448</v>
      </c>
      <c r="D23" s="8" t="s">
        <v>449</v>
      </c>
      <c r="E23" s="8">
        <v>4294425824</v>
      </c>
      <c r="F23" s="8">
        <v>8</v>
      </c>
      <c r="G23" s="8">
        <v>7.5</v>
      </c>
      <c r="H23" s="8">
        <v>7.5</v>
      </c>
      <c r="I23" s="8">
        <v>10</v>
      </c>
      <c r="J23" s="8">
        <v>7.5</v>
      </c>
      <c r="K23" s="8">
        <v>10</v>
      </c>
      <c r="L23" s="8">
        <v>10</v>
      </c>
      <c r="M23" s="8"/>
      <c r="N23" s="8"/>
      <c r="O23" s="8"/>
    </row>
    <row r="24" spans="1:15">
      <c r="A24" s="8" t="s">
        <v>18</v>
      </c>
      <c r="B24" s="9">
        <v>45383</v>
      </c>
      <c r="C24" s="8" t="s">
        <v>450</v>
      </c>
      <c r="D24" s="8" t="s">
        <v>43</v>
      </c>
      <c r="E24" s="8">
        <v>4783360728</v>
      </c>
      <c r="F24" s="8">
        <v>7</v>
      </c>
      <c r="G24" s="8">
        <v>7.5</v>
      </c>
      <c r="H24" s="8">
        <v>5</v>
      </c>
      <c r="I24" s="8">
        <v>10</v>
      </c>
      <c r="J24" s="8">
        <v>7.5</v>
      </c>
      <c r="K24" s="8">
        <v>7.5</v>
      </c>
      <c r="L24" s="8">
        <v>7.5</v>
      </c>
      <c r="M24" s="8" t="s">
        <v>451</v>
      </c>
      <c r="N24" s="8" t="s">
        <v>452</v>
      </c>
      <c r="O24" s="8"/>
    </row>
    <row r="25" spans="1:15">
      <c r="A25" s="8" t="s">
        <v>18</v>
      </c>
      <c r="B25" s="9">
        <v>45383</v>
      </c>
      <c r="C25" s="8" t="s">
        <v>453</v>
      </c>
      <c r="D25" s="8" t="s">
        <v>60</v>
      </c>
      <c r="E25" s="8">
        <v>4072199668</v>
      </c>
      <c r="F25" s="8">
        <v>5</v>
      </c>
      <c r="G25" s="8">
        <v>5</v>
      </c>
      <c r="H25" s="8">
        <v>5</v>
      </c>
      <c r="I25" s="8">
        <v>7.5</v>
      </c>
      <c r="J25" s="8">
        <v>5</v>
      </c>
      <c r="K25" s="8">
        <v>5</v>
      </c>
      <c r="L25" s="8">
        <v>5</v>
      </c>
      <c r="M25" s="8"/>
      <c r="N25" s="8"/>
      <c r="O25" s="8" t="s">
        <v>413</v>
      </c>
    </row>
    <row r="26" spans="1:15">
      <c r="A26" s="8" t="s">
        <v>18</v>
      </c>
      <c r="B26" s="9">
        <v>45383</v>
      </c>
      <c r="C26" s="8" t="s">
        <v>454</v>
      </c>
      <c r="D26" s="8" t="s">
        <v>36</v>
      </c>
      <c r="E26" s="8">
        <v>4193339153</v>
      </c>
      <c r="F26" s="8">
        <v>8</v>
      </c>
      <c r="G26" s="8">
        <v>10</v>
      </c>
      <c r="H26" s="8">
        <v>7.5</v>
      </c>
      <c r="I26" s="8">
        <v>10</v>
      </c>
      <c r="J26" s="8">
        <v>7.5</v>
      </c>
      <c r="K26" s="8">
        <v>7.5</v>
      </c>
      <c r="L26" s="8">
        <v>5</v>
      </c>
      <c r="M26" s="8"/>
      <c r="N26" s="8"/>
      <c r="O26" s="8"/>
    </row>
    <row r="27" spans="1:15">
      <c r="A27" s="8" t="s">
        <v>18</v>
      </c>
      <c r="B27" s="9">
        <v>45383</v>
      </c>
      <c r="C27" s="8" t="s">
        <v>180</v>
      </c>
      <c r="D27" s="8" t="s">
        <v>54</v>
      </c>
      <c r="E27" s="8">
        <v>4235835514</v>
      </c>
      <c r="F27" s="8">
        <v>8</v>
      </c>
      <c r="G27" s="8">
        <v>10</v>
      </c>
      <c r="H27" s="8">
        <v>7.5</v>
      </c>
      <c r="I27" s="8">
        <v>10</v>
      </c>
      <c r="J27" s="8">
        <v>10</v>
      </c>
      <c r="K27" s="8">
        <v>7.5</v>
      </c>
      <c r="L27" s="8">
        <v>10</v>
      </c>
      <c r="M27" s="8" t="s">
        <v>455</v>
      </c>
      <c r="N27" s="8"/>
      <c r="O27" s="8" t="s">
        <v>456</v>
      </c>
    </row>
    <row r="28" spans="1:15">
      <c r="A28" s="8" t="s">
        <v>18</v>
      </c>
      <c r="B28" s="9">
        <v>45383</v>
      </c>
      <c r="C28" s="8" t="s">
        <v>457</v>
      </c>
      <c r="D28" s="8" t="s">
        <v>25</v>
      </c>
      <c r="E28" s="8">
        <v>4750936830</v>
      </c>
      <c r="F28" s="8">
        <v>3</v>
      </c>
      <c r="G28" s="8">
        <v>7.5</v>
      </c>
      <c r="H28" s="8">
        <v>7.5</v>
      </c>
      <c r="I28" s="8">
        <v>7.5</v>
      </c>
      <c r="J28" s="8">
        <v>5</v>
      </c>
      <c r="K28" s="8">
        <v>5</v>
      </c>
      <c r="L28" s="8">
        <v>5</v>
      </c>
      <c r="M28" s="8"/>
      <c r="N28" s="8"/>
      <c r="O28" s="8"/>
    </row>
    <row r="29" spans="1:15">
      <c r="A29" s="8" t="s">
        <v>18</v>
      </c>
      <c r="B29" s="9">
        <v>45383</v>
      </c>
      <c r="C29" s="8" t="s">
        <v>458</v>
      </c>
      <c r="D29" s="8" t="s">
        <v>43</v>
      </c>
      <c r="E29" s="8">
        <v>4156758763</v>
      </c>
      <c r="F29" s="8">
        <v>6</v>
      </c>
      <c r="G29" s="8">
        <v>10</v>
      </c>
      <c r="H29" s="8">
        <v>5</v>
      </c>
      <c r="I29" s="8">
        <v>10</v>
      </c>
      <c r="J29" s="8">
        <v>7.5</v>
      </c>
      <c r="K29" s="8">
        <v>5</v>
      </c>
      <c r="L29" s="8">
        <v>7.5</v>
      </c>
      <c r="M29" s="8"/>
      <c r="N29" s="8"/>
      <c r="O29" s="8" t="s">
        <v>34</v>
      </c>
    </row>
    <row r="30" spans="1:15">
      <c r="A30" s="8" t="s">
        <v>18</v>
      </c>
      <c r="B30" s="9">
        <v>45399</v>
      </c>
      <c r="C30" s="8" t="s">
        <v>459</v>
      </c>
      <c r="D30" s="8" t="s">
        <v>416</v>
      </c>
      <c r="E30" s="8">
        <v>4014786468</v>
      </c>
      <c r="F30" s="8">
        <v>8</v>
      </c>
      <c r="G30" s="8">
        <v>10</v>
      </c>
      <c r="H30" s="8">
        <v>5</v>
      </c>
      <c r="I30" s="8">
        <v>10</v>
      </c>
      <c r="J30" s="8">
        <v>7.5</v>
      </c>
      <c r="K30" s="8">
        <v>7.5</v>
      </c>
      <c r="L30" s="8">
        <v>7.5</v>
      </c>
      <c r="M30" s="8"/>
      <c r="N30" s="8"/>
      <c r="O30" s="8"/>
    </row>
    <row r="31" spans="1:15">
      <c r="A31" s="8" t="s">
        <v>18</v>
      </c>
      <c r="B31" s="9">
        <v>45398</v>
      </c>
      <c r="C31" s="8" t="s">
        <v>460</v>
      </c>
      <c r="D31" s="8" t="s">
        <v>36</v>
      </c>
      <c r="E31" s="8">
        <v>4597743796</v>
      </c>
      <c r="F31" s="8">
        <v>2</v>
      </c>
      <c r="G31" s="8">
        <v>5</v>
      </c>
      <c r="H31" s="8">
        <v>5</v>
      </c>
      <c r="I31" s="8">
        <v>7.5</v>
      </c>
      <c r="J31" s="8">
        <v>2.5</v>
      </c>
      <c r="K31" s="8">
        <v>5</v>
      </c>
      <c r="L31" s="8">
        <v>5</v>
      </c>
      <c r="M31" s="8" t="s">
        <v>461</v>
      </c>
      <c r="N31" s="8" t="s">
        <v>462</v>
      </c>
      <c r="O31" s="8" t="s">
        <v>463</v>
      </c>
    </row>
    <row r="32" spans="1:15">
      <c r="A32" s="8" t="s">
        <v>18</v>
      </c>
      <c r="B32" s="9">
        <v>45398</v>
      </c>
      <c r="C32" s="8" t="s">
        <v>464</v>
      </c>
      <c r="D32" s="8" t="s">
        <v>25</v>
      </c>
      <c r="E32" s="8">
        <v>4637219562</v>
      </c>
      <c r="F32" s="8">
        <v>7</v>
      </c>
      <c r="G32" s="8">
        <v>5</v>
      </c>
      <c r="H32" s="8">
        <v>5</v>
      </c>
      <c r="I32" s="8">
        <v>10</v>
      </c>
      <c r="J32" s="8">
        <v>5</v>
      </c>
      <c r="K32" s="8">
        <v>5</v>
      </c>
      <c r="L32" s="8">
        <v>2.5</v>
      </c>
      <c r="M32" s="8" t="s">
        <v>465</v>
      </c>
      <c r="N32" s="8" t="s">
        <v>466</v>
      </c>
      <c r="O32" s="8" t="s">
        <v>467</v>
      </c>
    </row>
    <row r="33" spans="1:15">
      <c r="A33" s="8" t="s">
        <v>18</v>
      </c>
      <c r="B33" s="9">
        <v>45397</v>
      </c>
      <c r="C33" s="8" t="s">
        <v>468</v>
      </c>
      <c r="D33" s="8" t="s">
        <v>469</v>
      </c>
      <c r="E33" s="8">
        <v>4148076317</v>
      </c>
      <c r="F33" s="8">
        <v>10</v>
      </c>
      <c r="G33" s="8">
        <v>10</v>
      </c>
      <c r="H33" s="8">
        <v>10</v>
      </c>
      <c r="I33" s="8">
        <v>10</v>
      </c>
      <c r="J33" s="8">
        <v>10</v>
      </c>
      <c r="K33" s="8">
        <v>10</v>
      </c>
      <c r="L33" s="8">
        <v>10</v>
      </c>
      <c r="M33" s="8" t="s">
        <v>470</v>
      </c>
      <c r="N33" s="8" t="s">
        <v>471</v>
      </c>
      <c r="O33" s="8" t="s">
        <v>472</v>
      </c>
    </row>
    <row r="34" spans="1:15">
      <c r="A34" s="8" t="s">
        <v>18</v>
      </c>
      <c r="B34" s="9">
        <v>45397</v>
      </c>
      <c r="C34" s="8" t="s">
        <v>473</v>
      </c>
      <c r="D34" s="8" t="s">
        <v>60</v>
      </c>
      <c r="E34" s="8">
        <v>4150145368</v>
      </c>
      <c r="F34" s="8">
        <v>6</v>
      </c>
      <c r="G34" s="8">
        <v>5</v>
      </c>
      <c r="H34" s="8">
        <v>5</v>
      </c>
      <c r="I34" s="8">
        <v>10</v>
      </c>
      <c r="J34" s="8">
        <v>2.5</v>
      </c>
      <c r="K34" s="8">
        <v>7.5</v>
      </c>
      <c r="L34" s="8">
        <v>7.5</v>
      </c>
      <c r="M34" s="8" t="s">
        <v>474</v>
      </c>
      <c r="N34" s="8" t="s">
        <v>475</v>
      </c>
      <c r="O34" s="8" t="s">
        <v>476</v>
      </c>
    </row>
    <row r="35" spans="1:15">
      <c r="A35" s="8" t="s">
        <v>18</v>
      </c>
      <c r="B35" s="9">
        <v>45397</v>
      </c>
      <c r="C35" s="8" t="s">
        <v>477</v>
      </c>
      <c r="D35" s="8" t="s">
        <v>60</v>
      </c>
      <c r="E35" s="8">
        <v>4775521024</v>
      </c>
      <c r="F35" s="8">
        <v>8</v>
      </c>
      <c r="G35" s="8">
        <v>10</v>
      </c>
      <c r="H35" s="8">
        <v>10</v>
      </c>
      <c r="I35" s="8">
        <v>10</v>
      </c>
      <c r="J35" s="8">
        <v>7.5</v>
      </c>
      <c r="K35" s="8">
        <v>7.5</v>
      </c>
      <c r="L35" s="8">
        <v>10</v>
      </c>
      <c r="M35" s="8"/>
      <c r="N35" s="8"/>
      <c r="O35" s="8"/>
    </row>
    <row r="36" spans="1:15">
      <c r="A36" s="8" t="s">
        <v>18</v>
      </c>
      <c r="B36" s="9">
        <v>45397</v>
      </c>
      <c r="C36" s="8" t="s">
        <v>478</v>
      </c>
      <c r="D36" s="8" t="s">
        <v>54</v>
      </c>
      <c r="E36" s="8">
        <v>4021259259</v>
      </c>
      <c r="F36" s="8">
        <v>10</v>
      </c>
      <c r="G36" s="8">
        <v>7.5</v>
      </c>
      <c r="H36" s="8">
        <v>10</v>
      </c>
      <c r="I36" s="8">
        <v>5</v>
      </c>
      <c r="J36" s="8">
        <v>10</v>
      </c>
      <c r="K36" s="8">
        <v>10</v>
      </c>
      <c r="L36" s="8">
        <v>7.5</v>
      </c>
      <c r="M36" s="8"/>
      <c r="N36" s="8"/>
      <c r="O36" s="8"/>
    </row>
    <row r="37" spans="1:15">
      <c r="A37" s="8" t="s">
        <v>18</v>
      </c>
      <c r="B37" s="9">
        <v>45396</v>
      </c>
      <c r="C37" s="8" t="s">
        <v>479</v>
      </c>
      <c r="D37" s="8" t="s">
        <v>60</v>
      </c>
      <c r="E37" s="8">
        <v>4026635617</v>
      </c>
      <c r="F37" s="8">
        <v>8</v>
      </c>
      <c r="G37" s="8">
        <v>10</v>
      </c>
      <c r="H37" s="8">
        <v>7.5</v>
      </c>
      <c r="I37" s="8">
        <v>10</v>
      </c>
      <c r="J37" s="8">
        <v>5</v>
      </c>
      <c r="K37" s="8">
        <v>7.5</v>
      </c>
      <c r="L37" s="8">
        <v>5</v>
      </c>
      <c r="M37" s="8" t="s">
        <v>283</v>
      </c>
      <c r="N37" s="8"/>
      <c r="O37" s="8"/>
    </row>
    <row r="38" spans="1:15" ht="12.75">
      <c r="A38" s="8" t="s">
        <v>18</v>
      </c>
      <c r="B38" s="9">
        <v>45396</v>
      </c>
      <c r="C38" s="8" t="s">
        <v>480</v>
      </c>
      <c r="D38" s="8" t="s">
        <v>105</v>
      </c>
      <c r="E38" s="8">
        <v>4310915331</v>
      </c>
      <c r="F38" s="8">
        <v>5</v>
      </c>
      <c r="G38" s="8">
        <v>10</v>
      </c>
      <c r="H38" s="8">
        <v>7.5</v>
      </c>
      <c r="I38" s="8">
        <v>10</v>
      </c>
      <c r="J38" s="8">
        <v>2.5</v>
      </c>
      <c r="K38" s="8">
        <v>5</v>
      </c>
      <c r="L38" s="8">
        <v>7.5</v>
      </c>
      <c r="M38" s="8" t="s">
        <v>481</v>
      </c>
      <c r="N38" s="8" t="s">
        <v>482</v>
      </c>
      <c r="O38" s="8" t="s">
        <v>483</v>
      </c>
    </row>
    <row r="39" spans="1:15" ht="12.75">
      <c r="A39" s="8" t="s">
        <v>18</v>
      </c>
      <c r="B39" s="9">
        <v>45396</v>
      </c>
      <c r="C39" s="8" t="s">
        <v>484</v>
      </c>
      <c r="D39" s="8" t="s">
        <v>54</v>
      </c>
      <c r="E39" s="8">
        <v>4388838732</v>
      </c>
      <c r="F39" s="8">
        <v>8</v>
      </c>
      <c r="G39" s="8">
        <v>10</v>
      </c>
      <c r="H39" s="8">
        <v>7.5</v>
      </c>
      <c r="I39" s="8">
        <v>10</v>
      </c>
      <c r="J39" s="8">
        <v>5</v>
      </c>
      <c r="K39" s="8">
        <v>7.5</v>
      </c>
      <c r="L39" s="8">
        <v>10</v>
      </c>
      <c r="M39" s="8" t="s">
        <v>485</v>
      </c>
      <c r="N39" s="8" t="s">
        <v>486</v>
      </c>
      <c r="O39" s="8" t="s">
        <v>487</v>
      </c>
    </row>
    <row r="40" spans="1:15" ht="12.75">
      <c r="A40" s="8" t="s">
        <v>18</v>
      </c>
      <c r="B40" s="9">
        <v>45396</v>
      </c>
      <c r="C40" s="8" t="s">
        <v>488</v>
      </c>
      <c r="D40" s="8" t="s">
        <v>105</v>
      </c>
      <c r="E40" s="8">
        <v>4259632120</v>
      </c>
      <c r="F40" s="8">
        <v>9</v>
      </c>
      <c r="G40" s="8">
        <v>10</v>
      </c>
      <c r="H40" s="8">
        <v>10</v>
      </c>
      <c r="I40" s="8">
        <v>10</v>
      </c>
      <c r="J40" s="8">
        <v>10</v>
      </c>
      <c r="K40" s="8">
        <v>10</v>
      </c>
      <c r="L40" s="8">
        <v>7.5</v>
      </c>
      <c r="M40" s="8"/>
      <c r="N40" s="8"/>
      <c r="O40" s="8"/>
    </row>
    <row r="41" spans="1:15" ht="12.75">
      <c r="A41" s="8" t="s">
        <v>18</v>
      </c>
      <c r="B41" s="9">
        <v>45396</v>
      </c>
      <c r="C41" s="8" t="s">
        <v>489</v>
      </c>
      <c r="D41" s="8" t="s">
        <v>25</v>
      </c>
      <c r="E41" s="8">
        <v>4479265818</v>
      </c>
      <c r="F41" s="8">
        <v>8</v>
      </c>
      <c r="G41" s="8">
        <v>10</v>
      </c>
      <c r="H41" s="8">
        <v>7.5</v>
      </c>
      <c r="I41" s="8">
        <v>10</v>
      </c>
      <c r="J41" s="8">
        <v>7.5</v>
      </c>
      <c r="K41" s="8">
        <v>7.5</v>
      </c>
      <c r="L41" s="8">
        <v>10</v>
      </c>
      <c r="M41" s="8"/>
      <c r="N41" s="8"/>
      <c r="O41" s="8"/>
    </row>
    <row r="42" spans="1:15" ht="12.75">
      <c r="A42" s="8" t="s">
        <v>18</v>
      </c>
      <c r="B42" s="9">
        <v>45396</v>
      </c>
      <c r="C42" s="8" t="s">
        <v>490</v>
      </c>
      <c r="D42" s="8" t="s">
        <v>416</v>
      </c>
      <c r="E42" s="8">
        <v>4755093075</v>
      </c>
      <c r="F42" s="8">
        <v>10</v>
      </c>
      <c r="G42" s="8">
        <v>10</v>
      </c>
      <c r="H42" s="8">
        <v>10</v>
      </c>
      <c r="I42" s="8">
        <v>10</v>
      </c>
      <c r="J42" s="8">
        <v>7.5</v>
      </c>
      <c r="K42" s="8">
        <v>10</v>
      </c>
      <c r="L42" s="8">
        <v>10</v>
      </c>
      <c r="M42" s="8"/>
      <c r="N42" s="8"/>
      <c r="O42" s="8"/>
    </row>
    <row r="43" spans="1:15" ht="12.75">
      <c r="A43" s="8" t="s">
        <v>18</v>
      </c>
      <c r="B43" s="9">
        <v>45396</v>
      </c>
      <c r="C43" s="8" t="s">
        <v>491</v>
      </c>
      <c r="D43" s="8" t="s">
        <v>45</v>
      </c>
      <c r="E43" s="8">
        <v>4291275702</v>
      </c>
      <c r="F43" s="8">
        <v>8</v>
      </c>
      <c r="G43" s="8">
        <v>7.5</v>
      </c>
      <c r="H43" s="8">
        <v>7.5</v>
      </c>
      <c r="I43" s="8">
        <v>10</v>
      </c>
      <c r="J43" s="8">
        <v>5</v>
      </c>
      <c r="K43" s="8">
        <v>7.5</v>
      </c>
      <c r="L43" s="8">
        <v>7.5</v>
      </c>
      <c r="M43" s="8" t="s">
        <v>492</v>
      </c>
      <c r="N43" s="8" t="s">
        <v>493</v>
      </c>
      <c r="O43" s="8"/>
    </row>
    <row r="44" spans="1:15" ht="12.75">
      <c r="A44" s="8" t="s">
        <v>18</v>
      </c>
      <c r="B44" s="9">
        <v>45395</v>
      </c>
      <c r="C44" s="8" t="s">
        <v>158</v>
      </c>
      <c r="D44" s="8" t="s">
        <v>494</v>
      </c>
      <c r="E44" s="8">
        <v>4214612665</v>
      </c>
      <c r="F44" s="8">
        <v>6</v>
      </c>
      <c r="G44" s="8">
        <v>10</v>
      </c>
      <c r="H44" s="8">
        <v>5</v>
      </c>
      <c r="I44" s="8">
        <v>10</v>
      </c>
      <c r="J44" s="8">
        <v>2.5</v>
      </c>
      <c r="K44" s="8">
        <v>7.5</v>
      </c>
      <c r="L44" s="8">
        <v>7.5</v>
      </c>
      <c r="M44" s="8" t="s">
        <v>495</v>
      </c>
      <c r="N44" s="8" t="s">
        <v>496</v>
      </c>
      <c r="O44" s="8"/>
    </row>
    <row r="45" spans="1:15" ht="12.75">
      <c r="A45" s="8" t="s">
        <v>18</v>
      </c>
      <c r="B45" s="9">
        <v>45395</v>
      </c>
      <c r="C45" s="8" t="s">
        <v>497</v>
      </c>
      <c r="D45" s="8" t="s">
        <v>431</v>
      </c>
      <c r="E45" s="8">
        <v>4011898145</v>
      </c>
      <c r="F45" s="8">
        <v>7</v>
      </c>
      <c r="G45" s="8">
        <v>10</v>
      </c>
      <c r="H45" s="8">
        <v>10</v>
      </c>
      <c r="I45" s="8">
        <v>10</v>
      </c>
      <c r="J45" s="8">
        <v>10</v>
      </c>
      <c r="K45" s="8">
        <v>7.5</v>
      </c>
      <c r="L45" s="8">
        <v>10</v>
      </c>
      <c r="M45" s="8"/>
      <c r="N45" s="8"/>
      <c r="O45" s="8"/>
    </row>
    <row r="46" spans="1:15" ht="12.75">
      <c r="A46" s="8" t="s">
        <v>18</v>
      </c>
      <c r="B46" s="9">
        <v>45394</v>
      </c>
      <c r="C46" s="8" t="s">
        <v>498</v>
      </c>
      <c r="D46" s="8" t="s">
        <v>134</v>
      </c>
      <c r="E46" s="8">
        <v>4132036827</v>
      </c>
      <c r="F46" s="8">
        <v>10</v>
      </c>
      <c r="G46" s="8">
        <v>10</v>
      </c>
      <c r="H46" s="8">
        <v>10</v>
      </c>
      <c r="I46" s="8">
        <v>10</v>
      </c>
      <c r="J46" s="8">
        <v>10</v>
      </c>
      <c r="K46" s="8">
        <v>10</v>
      </c>
      <c r="L46" s="8">
        <v>10</v>
      </c>
      <c r="M46" s="8" t="s">
        <v>499</v>
      </c>
      <c r="N46" s="8" t="s">
        <v>500</v>
      </c>
      <c r="O46" s="8" t="s">
        <v>501</v>
      </c>
    </row>
    <row r="47" spans="1:15" ht="12.75">
      <c r="A47" s="8" t="s">
        <v>18</v>
      </c>
      <c r="B47" s="9">
        <v>45394</v>
      </c>
      <c r="C47" s="8" t="s">
        <v>502</v>
      </c>
      <c r="D47" s="8" t="s">
        <v>25</v>
      </c>
      <c r="E47" s="8">
        <v>4746635644</v>
      </c>
      <c r="F47" s="8">
        <v>6</v>
      </c>
      <c r="G47" s="8">
        <v>7.5</v>
      </c>
      <c r="H47" s="8">
        <v>5</v>
      </c>
      <c r="I47" s="8">
        <v>10</v>
      </c>
      <c r="J47" s="8">
        <v>5</v>
      </c>
      <c r="K47" s="8">
        <v>5</v>
      </c>
      <c r="L47" s="8">
        <v>5</v>
      </c>
      <c r="M47" s="8"/>
      <c r="N47" s="8" t="s">
        <v>503</v>
      </c>
      <c r="O47" s="8" t="s">
        <v>504</v>
      </c>
    </row>
    <row r="48" spans="1:15" ht="12.75">
      <c r="A48" s="8" t="s">
        <v>18</v>
      </c>
      <c r="B48" s="9">
        <v>45394</v>
      </c>
      <c r="C48" s="8" t="s">
        <v>505</v>
      </c>
      <c r="D48" s="8" t="s">
        <v>60</v>
      </c>
      <c r="E48" s="8">
        <v>4036660149</v>
      </c>
      <c r="F48" s="8">
        <v>8</v>
      </c>
      <c r="G48" s="8">
        <v>7.5</v>
      </c>
      <c r="H48" s="8">
        <v>7.5</v>
      </c>
      <c r="I48" s="8">
        <v>10</v>
      </c>
      <c r="J48" s="8">
        <v>7.5</v>
      </c>
      <c r="K48" s="8">
        <v>7.5</v>
      </c>
      <c r="L48" s="8">
        <v>7.5</v>
      </c>
      <c r="M48" s="8"/>
      <c r="N48" s="8"/>
      <c r="O48" s="8"/>
    </row>
    <row r="49" spans="1:15" ht="12.75">
      <c r="A49" s="8" t="s">
        <v>18</v>
      </c>
      <c r="B49" s="9">
        <v>45393</v>
      </c>
      <c r="C49" s="8" t="s">
        <v>506</v>
      </c>
      <c r="D49" s="8" t="s">
        <v>36</v>
      </c>
      <c r="E49" s="8">
        <v>4250220827</v>
      </c>
      <c r="F49" s="8">
        <v>8</v>
      </c>
      <c r="G49" s="8">
        <v>7.5</v>
      </c>
      <c r="H49" s="8">
        <v>7.5</v>
      </c>
      <c r="I49" s="8">
        <v>10</v>
      </c>
      <c r="J49" s="8">
        <v>7.5</v>
      </c>
      <c r="K49" s="8">
        <v>5</v>
      </c>
      <c r="L49" s="8">
        <v>7.5</v>
      </c>
      <c r="M49" s="8"/>
      <c r="N49" s="8"/>
      <c r="O49" s="8"/>
    </row>
    <row r="50" spans="1:15" ht="12.75">
      <c r="A50" s="8" t="s">
        <v>18</v>
      </c>
      <c r="B50" s="9">
        <v>45393</v>
      </c>
      <c r="C50" s="8" t="s">
        <v>507</v>
      </c>
      <c r="D50" s="8" t="s">
        <v>105</v>
      </c>
      <c r="E50" s="8">
        <v>4002304916</v>
      </c>
      <c r="F50" s="8">
        <v>9</v>
      </c>
      <c r="G50" s="8">
        <v>10</v>
      </c>
      <c r="H50" s="8">
        <v>10</v>
      </c>
      <c r="I50" s="8">
        <v>10</v>
      </c>
      <c r="J50" s="8">
        <v>5</v>
      </c>
      <c r="K50" s="8">
        <v>10</v>
      </c>
      <c r="L50" s="8">
        <v>7.5</v>
      </c>
      <c r="M50" s="8" t="s">
        <v>508</v>
      </c>
      <c r="N50" s="8" t="s">
        <v>509</v>
      </c>
      <c r="O50" s="8" t="s">
        <v>510</v>
      </c>
    </row>
    <row r="51" spans="1:15" ht="12.75">
      <c r="A51" s="8" t="s">
        <v>18</v>
      </c>
      <c r="B51" s="9">
        <v>45392</v>
      </c>
      <c r="C51" s="8" t="s">
        <v>511</v>
      </c>
      <c r="D51" s="8" t="s">
        <v>93</v>
      </c>
      <c r="E51" s="8">
        <v>4218531236</v>
      </c>
      <c r="F51" s="8">
        <v>10</v>
      </c>
      <c r="G51" s="8">
        <v>10</v>
      </c>
      <c r="H51" s="8">
        <v>10</v>
      </c>
      <c r="I51" s="8">
        <v>10</v>
      </c>
      <c r="J51" s="8">
        <v>10</v>
      </c>
      <c r="K51" s="8">
        <v>7.5</v>
      </c>
      <c r="L51" s="8">
        <v>10</v>
      </c>
      <c r="M51" s="8" t="s">
        <v>512</v>
      </c>
      <c r="N51" s="8" t="s">
        <v>513</v>
      </c>
      <c r="O51" s="8" t="s">
        <v>514</v>
      </c>
    </row>
    <row r="52" spans="1:15" ht="12.75">
      <c r="A52" s="8" t="s">
        <v>18</v>
      </c>
      <c r="B52" s="9">
        <v>45392</v>
      </c>
      <c r="C52" s="8" t="s">
        <v>515</v>
      </c>
      <c r="D52" s="8" t="s">
        <v>54</v>
      </c>
      <c r="E52" s="8">
        <v>4160746940</v>
      </c>
      <c r="F52" s="8">
        <v>5</v>
      </c>
      <c r="G52" s="8">
        <v>5</v>
      </c>
      <c r="H52" s="8">
        <v>7.5</v>
      </c>
      <c r="I52" s="8">
        <v>10</v>
      </c>
      <c r="J52" s="8">
        <v>7.5</v>
      </c>
      <c r="K52" s="8">
        <v>5</v>
      </c>
      <c r="L52" s="8">
        <v>5</v>
      </c>
      <c r="M52" s="8"/>
      <c r="N52" s="8"/>
      <c r="O52" s="8"/>
    </row>
    <row r="53" spans="1:15" ht="12.75">
      <c r="A53" s="8" t="s">
        <v>18</v>
      </c>
      <c r="B53" s="9">
        <v>45392</v>
      </c>
      <c r="C53" s="8" t="s">
        <v>516</v>
      </c>
      <c r="D53" s="8" t="s">
        <v>123</v>
      </c>
      <c r="E53" s="8">
        <v>4006214386</v>
      </c>
      <c r="F53" s="8">
        <v>5</v>
      </c>
      <c r="G53" s="8">
        <v>5</v>
      </c>
      <c r="H53" s="8">
        <v>7.5</v>
      </c>
      <c r="I53" s="8">
        <v>7.5</v>
      </c>
      <c r="J53" s="8">
        <v>5</v>
      </c>
      <c r="K53" s="8">
        <v>2.5</v>
      </c>
      <c r="L53" s="8">
        <v>2.5</v>
      </c>
      <c r="M53" s="8"/>
      <c r="N53" s="8"/>
      <c r="O53" s="8"/>
    </row>
    <row r="54" spans="1:15" ht="12.75">
      <c r="A54" s="8" t="s">
        <v>18</v>
      </c>
      <c r="B54" s="9">
        <v>45391</v>
      </c>
      <c r="C54" s="8" t="s">
        <v>517</v>
      </c>
      <c r="D54" s="8" t="s">
        <v>91</v>
      </c>
      <c r="E54" s="8">
        <v>4246465661</v>
      </c>
      <c r="F54" s="8">
        <v>7</v>
      </c>
      <c r="G54" s="8">
        <v>7.5</v>
      </c>
      <c r="H54" s="8">
        <v>5</v>
      </c>
      <c r="I54" s="8">
        <v>7.5</v>
      </c>
      <c r="J54" s="8">
        <v>7.5</v>
      </c>
      <c r="K54" s="8">
        <v>7.5</v>
      </c>
      <c r="L54" s="8">
        <v>7.5</v>
      </c>
      <c r="M54" s="8"/>
      <c r="N54" s="8" t="s">
        <v>518</v>
      </c>
      <c r="O54" s="8" t="s">
        <v>519</v>
      </c>
    </row>
    <row r="55" spans="1:15" ht="12.75">
      <c r="A55" s="8" t="s">
        <v>18</v>
      </c>
      <c r="B55" s="9">
        <v>45391</v>
      </c>
      <c r="C55" s="8" t="s">
        <v>322</v>
      </c>
      <c r="D55" s="8" t="s">
        <v>54</v>
      </c>
      <c r="E55" s="8">
        <v>4222757396</v>
      </c>
      <c r="F55" s="8">
        <v>8</v>
      </c>
      <c r="G55" s="8">
        <v>5</v>
      </c>
      <c r="H55" s="8">
        <v>5</v>
      </c>
      <c r="I55" s="8">
        <v>10</v>
      </c>
      <c r="J55" s="8">
        <v>5</v>
      </c>
      <c r="K55" s="8">
        <v>7.5</v>
      </c>
      <c r="L55" s="8">
        <v>7.5</v>
      </c>
      <c r="M55" s="8"/>
      <c r="N55" s="8"/>
      <c r="O55" s="8"/>
    </row>
    <row r="56" spans="1:15" ht="12.75">
      <c r="A56" s="8" t="s">
        <v>18</v>
      </c>
      <c r="B56" s="9">
        <v>45390</v>
      </c>
      <c r="C56" s="8" t="s">
        <v>520</v>
      </c>
      <c r="D56" s="8" t="s">
        <v>93</v>
      </c>
      <c r="E56" s="8">
        <v>4226184832</v>
      </c>
      <c r="F56" s="8">
        <v>7</v>
      </c>
      <c r="G56" s="8">
        <v>7.5</v>
      </c>
      <c r="H56" s="8">
        <v>7.5</v>
      </c>
      <c r="I56" s="8">
        <v>10</v>
      </c>
      <c r="J56" s="8">
        <v>7.5</v>
      </c>
      <c r="K56" s="8">
        <v>5</v>
      </c>
      <c r="L56" s="8">
        <v>5</v>
      </c>
      <c r="M56" s="8"/>
      <c r="N56" s="8"/>
      <c r="O56" s="8"/>
    </row>
    <row r="57" spans="1:15" ht="12.75">
      <c r="A57" s="8" t="s">
        <v>18</v>
      </c>
      <c r="B57" s="9">
        <v>45390</v>
      </c>
      <c r="C57" s="8" t="s">
        <v>521</v>
      </c>
      <c r="D57" s="8" t="s">
        <v>54</v>
      </c>
      <c r="E57" s="8">
        <v>4293208090</v>
      </c>
      <c r="F57" s="8">
        <v>8</v>
      </c>
      <c r="G57" s="8">
        <v>10</v>
      </c>
      <c r="H57" s="8">
        <v>7.5</v>
      </c>
      <c r="I57" s="8">
        <v>10</v>
      </c>
      <c r="J57" s="8">
        <v>7.5</v>
      </c>
      <c r="K57" s="8">
        <v>5</v>
      </c>
      <c r="L57" s="8">
        <v>10</v>
      </c>
      <c r="M57" s="8"/>
      <c r="N57" s="8"/>
      <c r="O57" s="8"/>
    </row>
    <row r="58" spans="1:15" ht="12.75">
      <c r="A58" s="8" t="s">
        <v>18</v>
      </c>
      <c r="B58" s="9">
        <v>45390</v>
      </c>
      <c r="C58" s="8" t="s">
        <v>522</v>
      </c>
      <c r="D58" s="8" t="s">
        <v>317</v>
      </c>
      <c r="E58" s="8">
        <v>4860573350</v>
      </c>
      <c r="F58" s="8">
        <v>8</v>
      </c>
      <c r="G58" s="8">
        <v>7.5</v>
      </c>
      <c r="H58" s="8">
        <v>10</v>
      </c>
      <c r="I58" s="8">
        <v>10</v>
      </c>
      <c r="J58" s="8">
        <v>7.5</v>
      </c>
      <c r="K58" s="8">
        <v>10</v>
      </c>
      <c r="L58" s="8">
        <v>10</v>
      </c>
      <c r="M58" s="8" t="s">
        <v>523</v>
      </c>
      <c r="N58" s="8" t="s">
        <v>524</v>
      </c>
      <c r="O58" s="8"/>
    </row>
    <row r="59" spans="1:15" ht="12.75">
      <c r="A59" s="8" t="s">
        <v>18</v>
      </c>
      <c r="B59" s="9">
        <v>45390</v>
      </c>
      <c r="C59" s="8" t="s">
        <v>525</v>
      </c>
      <c r="D59" s="8" t="s">
        <v>43</v>
      </c>
      <c r="E59" s="8">
        <v>4092353475</v>
      </c>
      <c r="F59" s="8">
        <v>7</v>
      </c>
      <c r="G59" s="8">
        <v>7.5</v>
      </c>
      <c r="H59" s="8">
        <v>5</v>
      </c>
      <c r="I59" s="8">
        <v>7.5</v>
      </c>
      <c r="J59" s="8">
        <v>7.5</v>
      </c>
      <c r="K59" s="8">
        <v>7.5</v>
      </c>
      <c r="L59" s="8">
        <v>7.5</v>
      </c>
      <c r="M59" s="8" t="s">
        <v>526</v>
      </c>
      <c r="N59" s="8" t="s">
        <v>527</v>
      </c>
      <c r="O59" s="8"/>
    </row>
    <row r="60" spans="1:15" ht="12.75">
      <c r="A60" s="8" t="s">
        <v>18</v>
      </c>
      <c r="B60" s="9">
        <v>45404</v>
      </c>
      <c r="C60" s="8" t="s">
        <v>528</v>
      </c>
      <c r="D60" s="8" t="s">
        <v>148</v>
      </c>
      <c r="E60" s="8">
        <v>4201122246</v>
      </c>
      <c r="F60" s="8">
        <v>1</v>
      </c>
      <c r="G60" s="8">
        <v>2.5</v>
      </c>
      <c r="H60" s="8">
        <v>2.5</v>
      </c>
      <c r="I60" s="8">
        <v>10</v>
      </c>
      <c r="J60" s="8">
        <v>2.5</v>
      </c>
      <c r="K60" s="8">
        <v>2.5</v>
      </c>
      <c r="L60" s="8">
        <v>5</v>
      </c>
      <c r="M60" s="8" t="s">
        <v>529</v>
      </c>
      <c r="N60" s="8" t="s">
        <v>530</v>
      </c>
      <c r="O60" s="8"/>
    </row>
    <row r="61" spans="1:15" ht="12.75">
      <c r="A61" s="8" t="s">
        <v>18</v>
      </c>
      <c r="B61" s="9">
        <v>45404</v>
      </c>
      <c r="C61" s="8" t="s">
        <v>531</v>
      </c>
      <c r="D61" s="8" t="s">
        <v>54</v>
      </c>
      <c r="E61" s="8">
        <v>4136476790</v>
      </c>
      <c r="F61" s="8">
        <v>6</v>
      </c>
      <c r="G61" s="8">
        <v>10</v>
      </c>
      <c r="H61" s="8">
        <v>2.5</v>
      </c>
      <c r="I61" s="8">
        <v>7.5</v>
      </c>
      <c r="J61" s="8">
        <v>7.5</v>
      </c>
      <c r="K61" s="8">
        <v>5</v>
      </c>
      <c r="L61" s="8">
        <v>7.5</v>
      </c>
      <c r="M61" s="8" t="s">
        <v>532</v>
      </c>
      <c r="N61" s="8" t="s">
        <v>533</v>
      </c>
      <c r="O61" s="8"/>
    </row>
    <row r="62" spans="1:15" ht="12.75">
      <c r="A62" s="8" t="s">
        <v>18</v>
      </c>
      <c r="B62" s="9">
        <v>45404</v>
      </c>
      <c r="C62" s="8" t="s">
        <v>534</v>
      </c>
      <c r="D62" s="8" t="s">
        <v>25</v>
      </c>
      <c r="E62" s="8">
        <v>4102224897</v>
      </c>
      <c r="F62" s="8">
        <v>9</v>
      </c>
      <c r="G62" s="8">
        <v>10</v>
      </c>
      <c r="H62" s="8">
        <v>7.5</v>
      </c>
      <c r="I62" s="8">
        <v>10</v>
      </c>
      <c r="J62" s="8">
        <v>7.5</v>
      </c>
      <c r="K62" s="8">
        <v>7.5</v>
      </c>
      <c r="L62" s="8">
        <v>10</v>
      </c>
      <c r="M62" s="8" t="s">
        <v>535</v>
      </c>
      <c r="N62" s="8"/>
      <c r="O62" s="8"/>
    </row>
    <row r="63" spans="1:15" ht="12.75">
      <c r="A63" s="8" t="s">
        <v>18</v>
      </c>
      <c r="B63" s="9">
        <v>45404</v>
      </c>
      <c r="C63" s="8" t="s">
        <v>536</v>
      </c>
      <c r="D63" s="8" t="s">
        <v>60</v>
      </c>
      <c r="E63" s="8">
        <v>4192054197</v>
      </c>
      <c r="F63" s="8">
        <v>10</v>
      </c>
      <c r="G63" s="8">
        <v>10</v>
      </c>
      <c r="H63" s="8">
        <v>7.5</v>
      </c>
      <c r="I63" s="8">
        <v>10</v>
      </c>
      <c r="J63" s="8">
        <v>7.5</v>
      </c>
      <c r="K63" s="8">
        <v>10</v>
      </c>
      <c r="L63" s="8">
        <v>10</v>
      </c>
      <c r="M63" s="8"/>
      <c r="N63" s="8"/>
      <c r="O63" s="8"/>
    </row>
    <row r="64" spans="1:15" ht="12.75">
      <c r="A64" s="8" t="s">
        <v>18</v>
      </c>
      <c r="B64" s="9">
        <v>45404</v>
      </c>
      <c r="C64" s="8" t="s">
        <v>266</v>
      </c>
      <c r="D64" s="8" t="s">
        <v>148</v>
      </c>
      <c r="E64" s="8">
        <v>4804852223</v>
      </c>
      <c r="F64" s="8">
        <v>9</v>
      </c>
      <c r="G64" s="8">
        <v>10</v>
      </c>
      <c r="H64" s="8">
        <v>10</v>
      </c>
      <c r="I64" s="8">
        <v>10</v>
      </c>
      <c r="J64" s="8">
        <v>7.5</v>
      </c>
      <c r="K64" s="8">
        <v>10</v>
      </c>
      <c r="L64" s="8">
        <v>10</v>
      </c>
      <c r="M64" s="8" t="s">
        <v>537</v>
      </c>
      <c r="N64" s="8" t="s">
        <v>538</v>
      </c>
      <c r="O64" s="8"/>
    </row>
    <row r="65" spans="1:15" ht="12.75">
      <c r="A65" s="8" t="s">
        <v>18</v>
      </c>
      <c r="B65" s="9">
        <v>45403</v>
      </c>
      <c r="C65" s="8" t="s">
        <v>539</v>
      </c>
      <c r="D65" s="8" t="s">
        <v>36</v>
      </c>
      <c r="E65" s="8">
        <v>4156172518</v>
      </c>
      <c r="F65" s="8">
        <v>10</v>
      </c>
      <c r="G65" s="8">
        <v>10</v>
      </c>
      <c r="H65" s="8">
        <v>7.5</v>
      </c>
      <c r="I65" s="8">
        <v>10</v>
      </c>
      <c r="J65" s="8">
        <v>10</v>
      </c>
      <c r="K65" s="8">
        <v>10</v>
      </c>
      <c r="L65" s="8">
        <v>10</v>
      </c>
      <c r="M65" s="8"/>
      <c r="N65" s="8"/>
      <c r="O65" s="8"/>
    </row>
    <row r="66" spans="1:15" ht="12.75">
      <c r="A66" s="8" t="s">
        <v>18</v>
      </c>
      <c r="B66" s="9">
        <v>45403</v>
      </c>
      <c r="C66" s="8" t="s">
        <v>540</v>
      </c>
      <c r="D66" s="8" t="s">
        <v>431</v>
      </c>
      <c r="E66" s="8">
        <v>4436900474</v>
      </c>
      <c r="F66" s="8">
        <v>7</v>
      </c>
      <c r="G66" s="8">
        <v>7.5</v>
      </c>
      <c r="H66" s="8">
        <v>5</v>
      </c>
      <c r="I66" s="8">
        <v>10</v>
      </c>
      <c r="J66" s="8">
        <v>7.5</v>
      </c>
      <c r="K66" s="8">
        <v>7.5</v>
      </c>
      <c r="L66" s="8">
        <v>7.5</v>
      </c>
      <c r="M66" s="8"/>
      <c r="N66" s="8"/>
      <c r="O66" s="8"/>
    </row>
    <row r="67" spans="1:15" ht="12.75">
      <c r="A67" s="8" t="s">
        <v>18</v>
      </c>
      <c r="B67" s="9">
        <v>45403</v>
      </c>
      <c r="C67" s="8" t="s">
        <v>541</v>
      </c>
      <c r="D67" s="8" t="s">
        <v>20</v>
      </c>
      <c r="E67" s="8">
        <v>4808629652</v>
      </c>
      <c r="F67" s="8">
        <v>8</v>
      </c>
      <c r="G67" s="8">
        <v>10</v>
      </c>
      <c r="H67" s="8">
        <v>7.5</v>
      </c>
      <c r="I67" s="8">
        <v>10</v>
      </c>
      <c r="J67" s="8">
        <v>7.5</v>
      </c>
      <c r="K67" s="8">
        <v>7.5</v>
      </c>
      <c r="L67" s="8">
        <v>10</v>
      </c>
      <c r="M67" s="8" t="s">
        <v>542</v>
      </c>
      <c r="N67" s="8" t="s">
        <v>543</v>
      </c>
      <c r="O67" s="8"/>
    </row>
    <row r="68" spans="1:15" ht="12.75">
      <c r="A68" s="8" t="s">
        <v>18</v>
      </c>
      <c r="B68" s="9">
        <v>45403</v>
      </c>
      <c r="C68" s="8" t="s">
        <v>544</v>
      </c>
      <c r="D68" s="8" t="s">
        <v>171</v>
      </c>
      <c r="E68" s="8">
        <v>4136763337</v>
      </c>
      <c r="F68" s="8">
        <v>9</v>
      </c>
      <c r="G68" s="8">
        <v>10</v>
      </c>
      <c r="H68" s="8">
        <v>10</v>
      </c>
      <c r="I68" s="8">
        <v>10</v>
      </c>
      <c r="J68" s="8">
        <v>10</v>
      </c>
      <c r="K68" s="8">
        <v>10</v>
      </c>
      <c r="L68" s="8">
        <v>10</v>
      </c>
      <c r="M68" s="8"/>
      <c r="N68" s="8"/>
      <c r="O68" s="8"/>
    </row>
    <row r="69" spans="1:15" ht="12.75">
      <c r="A69" s="8" t="s">
        <v>18</v>
      </c>
      <c r="B69" s="9">
        <v>45403</v>
      </c>
      <c r="C69" s="8" t="s">
        <v>545</v>
      </c>
      <c r="D69" s="8" t="s">
        <v>105</v>
      </c>
      <c r="E69" s="8">
        <v>4197529655</v>
      </c>
      <c r="F69" s="8">
        <v>10</v>
      </c>
      <c r="G69" s="8">
        <v>7.5</v>
      </c>
      <c r="H69" s="8">
        <v>7.5</v>
      </c>
      <c r="I69" s="8">
        <v>10</v>
      </c>
      <c r="J69" s="8">
        <v>7.5</v>
      </c>
      <c r="K69" s="8">
        <v>10</v>
      </c>
      <c r="L69" s="8">
        <v>7.5</v>
      </c>
      <c r="M69" s="8"/>
      <c r="N69" s="8"/>
      <c r="O69" s="8"/>
    </row>
    <row r="70" spans="1:15" ht="12.75">
      <c r="A70" s="8" t="s">
        <v>18</v>
      </c>
      <c r="B70" s="9">
        <v>45403</v>
      </c>
      <c r="C70" s="8" t="s">
        <v>521</v>
      </c>
      <c r="D70" s="8" t="s">
        <v>54</v>
      </c>
      <c r="E70" s="8">
        <v>4428569955</v>
      </c>
      <c r="F70" s="8">
        <v>5</v>
      </c>
      <c r="G70" s="8">
        <v>7.5</v>
      </c>
      <c r="H70" s="8">
        <v>5</v>
      </c>
      <c r="I70" s="8">
        <v>10</v>
      </c>
      <c r="J70" s="8">
        <v>5</v>
      </c>
      <c r="K70" s="8">
        <v>5</v>
      </c>
      <c r="L70" s="8">
        <v>5</v>
      </c>
      <c r="M70" s="8" t="s">
        <v>546</v>
      </c>
      <c r="N70" s="8" t="s">
        <v>547</v>
      </c>
      <c r="O70" s="8"/>
    </row>
    <row r="71" spans="1:15" ht="12.75">
      <c r="A71" s="8" t="s">
        <v>18</v>
      </c>
      <c r="B71" s="9">
        <v>45403</v>
      </c>
      <c r="C71" s="8" t="s">
        <v>548</v>
      </c>
      <c r="D71" s="8" t="s">
        <v>45</v>
      </c>
      <c r="E71" s="8">
        <v>4749555498</v>
      </c>
      <c r="F71" s="8">
        <v>5</v>
      </c>
      <c r="G71" s="8">
        <v>7.5</v>
      </c>
      <c r="H71" s="8">
        <v>10</v>
      </c>
      <c r="I71" s="8">
        <v>7.5</v>
      </c>
      <c r="J71" s="8">
        <v>5</v>
      </c>
      <c r="K71" s="8">
        <v>5</v>
      </c>
      <c r="L71" s="8">
        <v>5</v>
      </c>
      <c r="M71" s="8"/>
      <c r="N71" s="8"/>
      <c r="O71" s="8"/>
    </row>
    <row r="72" spans="1:15" ht="12.75">
      <c r="A72" s="8" t="s">
        <v>18</v>
      </c>
      <c r="B72" s="9">
        <v>45402</v>
      </c>
      <c r="C72" s="8" t="s">
        <v>549</v>
      </c>
      <c r="D72" s="8" t="s">
        <v>60</v>
      </c>
      <c r="E72" s="8">
        <v>4132054639</v>
      </c>
      <c r="F72" s="8">
        <v>8</v>
      </c>
      <c r="G72" s="8">
        <v>10</v>
      </c>
      <c r="H72" s="8">
        <v>5</v>
      </c>
      <c r="I72" s="8">
        <v>10</v>
      </c>
      <c r="J72" s="8">
        <v>5</v>
      </c>
      <c r="K72" s="8">
        <v>7.5</v>
      </c>
      <c r="L72" s="8">
        <v>10</v>
      </c>
      <c r="M72" s="8"/>
      <c r="N72" s="8"/>
      <c r="O72" s="8"/>
    </row>
    <row r="73" spans="1:15" ht="12.75">
      <c r="A73" s="8" t="s">
        <v>18</v>
      </c>
      <c r="B73" s="9">
        <v>45402</v>
      </c>
      <c r="C73" s="8" t="s">
        <v>550</v>
      </c>
      <c r="D73" s="8" t="s">
        <v>60</v>
      </c>
      <c r="E73" s="8">
        <v>4521670492</v>
      </c>
      <c r="F73" s="8">
        <v>7</v>
      </c>
      <c r="G73" s="8">
        <v>7.5</v>
      </c>
      <c r="H73" s="8">
        <v>10</v>
      </c>
      <c r="I73" s="8">
        <v>10</v>
      </c>
      <c r="J73" s="8">
        <v>5</v>
      </c>
      <c r="K73" s="8">
        <v>7.5</v>
      </c>
      <c r="L73" s="8">
        <v>5</v>
      </c>
      <c r="M73" s="8" t="s">
        <v>551</v>
      </c>
      <c r="N73" s="8" t="s">
        <v>552</v>
      </c>
      <c r="O73" s="8"/>
    </row>
    <row r="74" spans="1:15" ht="12.75">
      <c r="A74" s="8" t="s">
        <v>18</v>
      </c>
      <c r="B74" s="9">
        <v>45402</v>
      </c>
      <c r="C74" s="8" t="s">
        <v>553</v>
      </c>
      <c r="D74" s="8" t="s">
        <v>105</v>
      </c>
      <c r="E74" s="8">
        <v>4002518080</v>
      </c>
      <c r="F74" s="8">
        <v>7</v>
      </c>
      <c r="G74" s="8">
        <v>10</v>
      </c>
      <c r="H74" s="8">
        <v>7.5</v>
      </c>
      <c r="I74" s="8">
        <v>10</v>
      </c>
      <c r="J74" s="8">
        <v>10</v>
      </c>
      <c r="K74" s="8">
        <v>7.5</v>
      </c>
      <c r="L74" s="8">
        <v>7.5</v>
      </c>
      <c r="M74" s="8" t="s">
        <v>554</v>
      </c>
      <c r="N74" s="8" t="s">
        <v>555</v>
      </c>
      <c r="O74" s="8"/>
    </row>
    <row r="75" spans="1:15" ht="12.75">
      <c r="A75" s="8" t="s">
        <v>18</v>
      </c>
      <c r="B75" s="9">
        <v>45401</v>
      </c>
      <c r="C75" s="8" t="s">
        <v>556</v>
      </c>
      <c r="D75" s="8" t="s">
        <v>45</v>
      </c>
      <c r="E75" s="8">
        <v>4257090017</v>
      </c>
      <c r="F75" s="8">
        <v>10</v>
      </c>
      <c r="G75" s="8">
        <v>10</v>
      </c>
      <c r="H75" s="8">
        <v>10</v>
      </c>
      <c r="I75" s="8">
        <v>10</v>
      </c>
      <c r="J75" s="8">
        <v>10</v>
      </c>
      <c r="K75" s="8">
        <v>10</v>
      </c>
      <c r="L75" s="8">
        <v>10</v>
      </c>
      <c r="M75" s="8"/>
      <c r="N75" s="8"/>
      <c r="O75" s="8"/>
    </row>
    <row r="76" spans="1:15" ht="12.75">
      <c r="A76" s="8" t="s">
        <v>18</v>
      </c>
      <c r="B76" s="9">
        <v>45401</v>
      </c>
      <c r="C76" s="8" t="s">
        <v>557</v>
      </c>
      <c r="D76" s="8" t="s">
        <v>36</v>
      </c>
      <c r="E76" s="8">
        <v>4979857055</v>
      </c>
      <c r="F76" s="8">
        <v>10</v>
      </c>
      <c r="G76" s="8">
        <v>10</v>
      </c>
      <c r="H76" s="8">
        <v>10</v>
      </c>
      <c r="I76" s="8">
        <v>10</v>
      </c>
      <c r="J76" s="8">
        <v>10</v>
      </c>
      <c r="K76" s="8">
        <v>10</v>
      </c>
      <c r="L76" s="8">
        <v>10</v>
      </c>
      <c r="M76" s="8" t="s">
        <v>558</v>
      </c>
      <c r="N76" s="8" t="s">
        <v>559</v>
      </c>
      <c r="O76" s="8"/>
    </row>
    <row r="77" spans="1:15" ht="12.75">
      <c r="A77" s="8" t="s">
        <v>18</v>
      </c>
      <c r="B77" s="9">
        <v>45401</v>
      </c>
      <c r="C77" s="8" t="s">
        <v>560</v>
      </c>
      <c r="D77" s="8" t="s">
        <v>123</v>
      </c>
      <c r="E77" s="8">
        <v>4058922506</v>
      </c>
      <c r="F77" s="8">
        <v>8</v>
      </c>
      <c r="G77" s="8">
        <v>10</v>
      </c>
      <c r="H77" s="8">
        <v>7.5</v>
      </c>
      <c r="I77" s="8">
        <v>10</v>
      </c>
      <c r="J77" s="8">
        <v>7.5</v>
      </c>
      <c r="K77" s="8">
        <v>5</v>
      </c>
      <c r="L77" s="8">
        <v>7.5</v>
      </c>
      <c r="M77" s="8" t="s">
        <v>561</v>
      </c>
      <c r="N77" s="8" t="s">
        <v>562</v>
      </c>
      <c r="O77" s="8"/>
    </row>
    <row r="78" spans="1:15" ht="12.75">
      <c r="A78" s="8" t="s">
        <v>18</v>
      </c>
      <c r="B78" s="9">
        <v>45401</v>
      </c>
      <c r="C78" s="8" t="s">
        <v>563</v>
      </c>
      <c r="D78" s="8" t="s">
        <v>36</v>
      </c>
      <c r="E78" s="8">
        <v>4525634015</v>
      </c>
      <c r="F78" s="8">
        <v>8</v>
      </c>
      <c r="G78" s="8">
        <v>10</v>
      </c>
      <c r="H78" s="8">
        <v>7.5</v>
      </c>
      <c r="I78" s="8">
        <v>10</v>
      </c>
      <c r="J78" s="8">
        <v>7.5</v>
      </c>
      <c r="K78" s="8">
        <v>7.5</v>
      </c>
      <c r="L78" s="8">
        <v>10</v>
      </c>
      <c r="M78" s="8"/>
      <c r="N78" s="8"/>
      <c r="O78" s="8"/>
    </row>
    <row r="79" spans="1:15" ht="12.75">
      <c r="A79" s="8" t="s">
        <v>18</v>
      </c>
      <c r="B79" s="9">
        <v>45401</v>
      </c>
      <c r="C79" s="8" t="s">
        <v>564</v>
      </c>
      <c r="D79" s="8" t="s">
        <v>439</v>
      </c>
      <c r="E79" s="8">
        <v>4749010155</v>
      </c>
      <c r="F79" s="8">
        <v>7</v>
      </c>
      <c r="G79" s="8">
        <v>10</v>
      </c>
      <c r="H79" s="8">
        <v>7.5</v>
      </c>
      <c r="I79" s="8">
        <v>7.5</v>
      </c>
      <c r="J79" s="8">
        <v>5</v>
      </c>
      <c r="K79" s="8">
        <v>5</v>
      </c>
      <c r="L79" s="8">
        <v>7.5</v>
      </c>
      <c r="M79" s="8"/>
      <c r="N79" s="8" t="s">
        <v>565</v>
      </c>
      <c r="O79" s="8"/>
    </row>
    <row r="80" spans="1:15" ht="12.75">
      <c r="A80" s="8" t="s">
        <v>18</v>
      </c>
      <c r="B80" s="9">
        <v>45399</v>
      </c>
      <c r="C80" s="8" t="s">
        <v>566</v>
      </c>
      <c r="D80" s="8" t="s">
        <v>28</v>
      </c>
      <c r="E80" s="8">
        <v>4696240703</v>
      </c>
      <c r="F80" s="8">
        <v>10</v>
      </c>
      <c r="G80" s="8">
        <v>10</v>
      </c>
      <c r="H80" s="8">
        <v>10</v>
      </c>
      <c r="I80" s="8">
        <v>10</v>
      </c>
      <c r="J80" s="8">
        <v>7.5</v>
      </c>
      <c r="K80" s="8">
        <v>10</v>
      </c>
      <c r="L80" s="8">
        <v>10</v>
      </c>
      <c r="M80" s="8" t="s">
        <v>567</v>
      </c>
      <c r="N80" s="8" t="s">
        <v>568</v>
      </c>
      <c r="O80" s="8"/>
    </row>
    <row r="81" spans="1:15" ht="12.75">
      <c r="A81" s="8" t="s">
        <v>18</v>
      </c>
      <c r="B81" s="9">
        <v>45399</v>
      </c>
      <c r="C81" s="8" t="s">
        <v>569</v>
      </c>
      <c r="D81" s="8" t="s">
        <v>36</v>
      </c>
      <c r="E81" s="8">
        <v>4139579680</v>
      </c>
      <c r="F81" s="8">
        <v>8</v>
      </c>
      <c r="G81" s="8">
        <v>10</v>
      </c>
      <c r="H81" s="8">
        <v>7.5</v>
      </c>
      <c r="I81" s="8">
        <v>10</v>
      </c>
      <c r="J81" s="8">
        <v>7.5</v>
      </c>
      <c r="K81" s="8">
        <v>7.5</v>
      </c>
      <c r="L81" s="8">
        <v>10</v>
      </c>
      <c r="M81" s="8"/>
      <c r="N81" s="8"/>
      <c r="O81" s="8"/>
    </row>
    <row r="82" spans="1:15" ht="12.75">
      <c r="A82" s="8" t="s">
        <v>18</v>
      </c>
      <c r="B82" s="9">
        <v>45399</v>
      </c>
      <c r="C82" s="8" t="s">
        <v>570</v>
      </c>
      <c r="D82" s="8" t="s">
        <v>571</v>
      </c>
      <c r="E82" s="8">
        <v>4906469441</v>
      </c>
      <c r="F82" s="8">
        <v>9</v>
      </c>
      <c r="G82" s="8">
        <v>10</v>
      </c>
      <c r="H82" s="8">
        <v>10</v>
      </c>
      <c r="I82" s="8">
        <v>10</v>
      </c>
      <c r="J82" s="8">
        <v>10</v>
      </c>
      <c r="K82" s="8">
        <v>10</v>
      </c>
      <c r="L82" s="8">
        <v>10</v>
      </c>
      <c r="M82" s="8"/>
      <c r="N82" s="8"/>
      <c r="O82" s="8"/>
    </row>
    <row r="83" spans="1:15" ht="12.75">
      <c r="A83" s="8" t="s">
        <v>18</v>
      </c>
      <c r="B83" s="9">
        <v>45399</v>
      </c>
      <c r="C83" s="8" t="s">
        <v>572</v>
      </c>
      <c r="D83" s="8" t="s">
        <v>93</v>
      </c>
      <c r="E83" s="8">
        <v>4811622599</v>
      </c>
      <c r="F83" s="8">
        <v>8</v>
      </c>
      <c r="G83" s="8">
        <v>10</v>
      </c>
      <c r="H83" s="8">
        <v>10</v>
      </c>
      <c r="I83" s="8">
        <v>10</v>
      </c>
      <c r="J83" s="8">
        <v>10</v>
      </c>
      <c r="K83" s="8">
        <v>5</v>
      </c>
      <c r="L83" s="8">
        <v>10</v>
      </c>
      <c r="M83" s="8"/>
      <c r="N83" s="8"/>
      <c r="O83" s="8"/>
    </row>
    <row r="84" spans="1:15" ht="12.75">
      <c r="A84" s="8" t="s">
        <v>18</v>
      </c>
      <c r="B84" s="9">
        <v>45399</v>
      </c>
      <c r="C84" s="8" t="s">
        <v>573</v>
      </c>
      <c r="D84" s="8" t="s">
        <v>36</v>
      </c>
      <c r="E84" s="8">
        <v>4521689556</v>
      </c>
      <c r="F84" s="8">
        <v>10</v>
      </c>
      <c r="G84" s="8">
        <v>5</v>
      </c>
      <c r="H84" s="8">
        <v>7.5</v>
      </c>
      <c r="I84" s="8">
        <v>10</v>
      </c>
      <c r="J84" s="8">
        <v>10</v>
      </c>
      <c r="K84" s="8">
        <v>10</v>
      </c>
      <c r="L84" s="8">
        <v>10</v>
      </c>
      <c r="M84" s="8"/>
      <c r="N84" s="8"/>
      <c r="O84" s="8"/>
    </row>
    <row r="85" spans="1:15" ht="12.75">
      <c r="A85" s="8" t="s">
        <v>18</v>
      </c>
      <c r="B85" s="9">
        <v>45399</v>
      </c>
      <c r="C85" s="8" t="s">
        <v>574</v>
      </c>
      <c r="D85" s="8" t="s">
        <v>60</v>
      </c>
      <c r="E85" s="8">
        <v>4732145030</v>
      </c>
      <c r="F85" s="8">
        <v>8</v>
      </c>
      <c r="G85" s="8">
        <v>10</v>
      </c>
      <c r="H85" s="8">
        <v>10</v>
      </c>
      <c r="I85" s="8">
        <v>10</v>
      </c>
      <c r="J85" s="8">
        <v>10</v>
      </c>
      <c r="K85" s="8">
        <v>10</v>
      </c>
      <c r="L85" s="8">
        <v>10</v>
      </c>
      <c r="M85" s="8"/>
      <c r="N85" s="8"/>
      <c r="O85" s="8"/>
    </row>
    <row r="86" spans="1:15" ht="12.75">
      <c r="A86" s="8" t="s">
        <v>18</v>
      </c>
      <c r="B86" s="9">
        <v>45399</v>
      </c>
      <c r="C86" s="8" t="s">
        <v>575</v>
      </c>
      <c r="D86" s="8" t="s">
        <v>36</v>
      </c>
      <c r="E86" s="8">
        <v>4637227180</v>
      </c>
      <c r="F86" s="8">
        <v>8</v>
      </c>
      <c r="G86" s="8">
        <v>10</v>
      </c>
      <c r="H86" s="8">
        <v>7.5</v>
      </c>
      <c r="I86" s="8">
        <v>10</v>
      </c>
      <c r="J86" s="8">
        <v>7.5</v>
      </c>
      <c r="K86" s="8">
        <v>10</v>
      </c>
      <c r="L86" s="8">
        <v>10</v>
      </c>
      <c r="M86" s="8"/>
      <c r="N86" s="8"/>
      <c r="O86" s="8"/>
    </row>
    <row r="87" spans="1:15" ht="12.75">
      <c r="A87" s="8" t="s">
        <v>18</v>
      </c>
      <c r="B87" s="9">
        <v>45399</v>
      </c>
      <c r="C87" s="8" t="s">
        <v>576</v>
      </c>
      <c r="D87" s="8" t="s">
        <v>252</v>
      </c>
      <c r="E87" s="8">
        <v>4247148747</v>
      </c>
      <c r="F87" s="8">
        <v>9</v>
      </c>
      <c r="G87" s="8">
        <v>10</v>
      </c>
      <c r="H87" s="8">
        <v>10</v>
      </c>
      <c r="I87" s="8">
        <v>10</v>
      </c>
      <c r="J87" s="8">
        <v>10</v>
      </c>
      <c r="K87" s="8">
        <v>10</v>
      </c>
      <c r="L87" s="8">
        <v>10</v>
      </c>
      <c r="M87" s="8" t="s">
        <v>577</v>
      </c>
      <c r="N87" s="8" t="s">
        <v>578</v>
      </c>
      <c r="O87" s="8"/>
    </row>
    <row r="88" spans="1:15" ht="12.75">
      <c r="A88" s="8" t="s">
        <v>18</v>
      </c>
      <c r="B88" s="9">
        <v>45399</v>
      </c>
      <c r="C88" s="8" t="s">
        <v>579</v>
      </c>
      <c r="D88" s="8" t="s">
        <v>45</v>
      </c>
      <c r="E88" s="8">
        <v>4053989142</v>
      </c>
      <c r="F88" s="8">
        <v>7</v>
      </c>
      <c r="G88" s="8">
        <v>7.5</v>
      </c>
      <c r="H88" s="8">
        <v>5</v>
      </c>
      <c r="I88" s="8">
        <v>10</v>
      </c>
      <c r="J88" s="8">
        <v>5</v>
      </c>
      <c r="K88" s="8">
        <v>7.5</v>
      </c>
      <c r="L88" s="8">
        <v>7.5</v>
      </c>
      <c r="M88" s="8" t="s">
        <v>580</v>
      </c>
      <c r="N88" s="8" t="s">
        <v>581</v>
      </c>
      <c r="O88" s="8"/>
    </row>
    <row r="89" spans="1:15" ht="12.75">
      <c r="A89" s="8" t="s">
        <v>18</v>
      </c>
      <c r="B89" s="9">
        <v>45399</v>
      </c>
      <c r="C89" s="8" t="s">
        <v>582</v>
      </c>
      <c r="D89" s="8" t="s">
        <v>134</v>
      </c>
      <c r="E89" s="8">
        <v>4030977504</v>
      </c>
      <c r="F89" s="8">
        <v>8</v>
      </c>
      <c r="G89" s="8">
        <v>7.5</v>
      </c>
      <c r="H89" s="8">
        <v>10</v>
      </c>
      <c r="I89" s="8">
        <v>10</v>
      </c>
      <c r="J89" s="8">
        <v>7.5</v>
      </c>
      <c r="K89" s="8">
        <v>7.5</v>
      </c>
      <c r="L89" s="8">
        <v>7.5</v>
      </c>
      <c r="M89" s="8" t="s">
        <v>583</v>
      </c>
      <c r="N89" s="8" t="s">
        <v>584</v>
      </c>
      <c r="O89" s="8"/>
    </row>
    <row r="90" spans="1:15" ht="12.75">
      <c r="A90" s="8" t="s">
        <v>18</v>
      </c>
      <c r="B90" s="9">
        <v>45412</v>
      </c>
      <c r="C90" s="8" t="s">
        <v>585</v>
      </c>
      <c r="D90" s="8" t="s">
        <v>60</v>
      </c>
      <c r="E90" s="8">
        <v>4899904020</v>
      </c>
      <c r="F90" s="8">
        <v>8</v>
      </c>
      <c r="G90" s="8">
        <v>10</v>
      </c>
      <c r="H90" s="8">
        <v>10</v>
      </c>
      <c r="I90" s="8">
        <v>10</v>
      </c>
      <c r="J90" s="8">
        <v>10</v>
      </c>
      <c r="K90" s="8">
        <v>10</v>
      </c>
      <c r="L90" s="8">
        <v>10</v>
      </c>
      <c r="M90" s="8"/>
      <c r="N90" s="8"/>
      <c r="O90" s="8"/>
    </row>
    <row r="91" spans="1:15" ht="12.75">
      <c r="A91" s="8" t="s">
        <v>18</v>
      </c>
      <c r="B91" s="9">
        <v>45412</v>
      </c>
      <c r="C91" s="8" t="s">
        <v>586</v>
      </c>
      <c r="D91" s="8" t="s">
        <v>587</v>
      </c>
      <c r="E91" s="8">
        <v>4448294932</v>
      </c>
      <c r="F91" s="8">
        <v>6</v>
      </c>
      <c r="G91" s="8">
        <v>7.5</v>
      </c>
      <c r="H91" s="8">
        <v>7.5</v>
      </c>
      <c r="I91" s="8">
        <v>10</v>
      </c>
      <c r="J91" s="8">
        <v>2.5</v>
      </c>
      <c r="K91" s="8">
        <v>5</v>
      </c>
      <c r="L91" s="8">
        <v>7.5</v>
      </c>
      <c r="M91" s="8" t="s">
        <v>588</v>
      </c>
      <c r="N91" s="8" t="s">
        <v>589</v>
      </c>
      <c r="O91" s="8"/>
    </row>
    <row r="92" spans="1:15" ht="12.75">
      <c r="A92" s="8" t="s">
        <v>18</v>
      </c>
      <c r="B92" s="9">
        <v>45412</v>
      </c>
      <c r="C92" s="8" t="s">
        <v>590</v>
      </c>
      <c r="D92" s="8" t="s">
        <v>134</v>
      </c>
      <c r="E92" s="8">
        <v>4730090245</v>
      </c>
      <c r="F92" s="8">
        <v>9</v>
      </c>
      <c r="G92" s="8">
        <v>10</v>
      </c>
      <c r="H92" s="8">
        <v>7.5</v>
      </c>
      <c r="I92" s="8">
        <v>10</v>
      </c>
      <c r="J92" s="8">
        <v>7.5</v>
      </c>
      <c r="K92" s="8">
        <v>10</v>
      </c>
      <c r="L92" s="8">
        <v>10</v>
      </c>
      <c r="M92" s="8"/>
      <c r="N92" s="8"/>
      <c r="O92" s="8"/>
    </row>
    <row r="93" spans="1:15" ht="12.75">
      <c r="A93" s="8" t="s">
        <v>18</v>
      </c>
      <c r="B93" s="9">
        <v>45412</v>
      </c>
      <c r="C93" s="8" t="s">
        <v>591</v>
      </c>
      <c r="D93" s="8" t="s">
        <v>25</v>
      </c>
      <c r="E93" s="8">
        <v>4958994866</v>
      </c>
      <c r="F93" s="8">
        <v>7</v>
      </c>
      <c r="G93" s="8">
        <v>10</v>
      </c>
      <c r="H93" s="8">
        <v>7.5</v>
      </c>
      <c r="I93" s="8">
        <v>10</v>
      </c>
      <c r="J93" s="8">
        <v>7.5</v>
      </c>
      <c r="K93" s="8">
        <v>7.5</v>
      </c>
      <c r="L93" s="8">
        <v>7.5</v>
      </c>
      <c r="M93" s="8"/>
      <c r="N93" s="8"/>
      <c r="O93" s="8"/>
    </row>
    <row r="94" spans="1:15" ht="12.75">
      <c r="A94" s="8" t="s">
        <v>18</v>
      </c>
      <c r="B94" s="9">
        <v>45412</v>
      </c>
      <c r="C94" s="8" t="s">
        <v>290</v>
      </c>
      <c r="D94" s="8" t="s">
        <v>36</v>
      </c>
      <c r="E94" s="8">
        <v>4188110767</v>
      </c>
      <c r="F94" s="8">
        <v>9</v>
      </c>
      <c r="G94" s="8">
        <v>10</v>
      </c>
      <c r="H94" s="8">
        <v>10</v>
      </c>
      <c r="I94" s="8">
        <v>10</v>
      </c>
      <c r="J94" s="8">
        <v>10</v>
      </c>
      <c r="K94" s="8">
        <v>10</v>
      </c>
      <c r="L94" s="8">
        <v>10</v>
      </c>
      <c r="M94" s="8" t="s">
        <v>592</v>
      </c>
      <c r="N94" s="8" t="s">
        <v>593</v>
      </c>
      <c r="O94" s="8"/>
    </row>
    <row r="95" spans="1:15" ht="12.75">
      <c r="A95" s="8" t="s">
        <v>18</v>
      </c>
      <c r="B95" s="9">
        <v>45411</v>
      </c>
      <c r="C95" s="8" t="s">
        <v>594</v>
      </c>
      <c r="D95" s="8" t="s">
        <v>595</v>
      </c>
      <c r="E95" s="8"/>
      <c r="F95" s="8">
        <v>5</v>
      </c>
      <c r="G95" s="8">
        <v>7.5</v>
      </c>
      <c r="H95" s="8">
        <v>5</v>
      </c>
      <c r="I95" s="8">
        <v>10</v>
      </c>
      <c r="J95" s="8">
        <v>2.5</v>
      </c>
      <c r="K95" s="8">
        <v>5</v>
      </c>
      <c r="L95" s="8">
        <v>5</v>
      </c>
      <c r="M95" s="8"/>
      <c r="N95" s="8"/>
      <c r="O95" s="8" t="s">
        <v>596</v>
      </c>
    </row>
    <row r="96" spans="1:15" ht="12.75">
      <c r="A96" s="8" t="s">
        <v>18</v>
      </c>
      <c r="B96" s="9">
        <v>45411</v>
      </c>
      <c r="C96" s="8" t="s">
        <v>597</v>
      </c>
      <c r="D96" s="8" t="s">
        <v>60</v>
      </c>
      <c r="E96" s="8">
        <v>4391351827</v>
      </c>
      <c r="F96" s="8">
        <v>8</v>
      </c>
      <c r="G96" s="8">
        <v>10</v>
      </c>
      <c r="H96" s="8">
        <v>5</v>
      </c>
      <c r="I96" s="8">
        <v>10</v>
      </c>
      <c r="J96" s="8">
        <v>7.5</v>
      </c>
      <c r="K96" s="8">
        <v>7.5</v>
      </c>
      <c r="L96" s="8">
        <v>10</v>
      </c>
      <c r="M96" s="8"/>
      <c r="N96" s="8"/>
      <c r="O96" s="8"/>
    </row>
    <row r="97" spans="1:15" ht="12.75">
      <c r="A97" s="8" t="s">
        <v>18</v>
      </c>
      <c r="B97" s="9">
        <v>45411</v>
      </c>
      <c r="C97" s="8" t="s">
        <v>598</v>
      </c>
      <c r="D97" s="8" t="s">
        <v>25</v>
      </c>
      <c r="E97" s="8">
        <v>4496860092</v>
      </c>
      <c r="F97" s="8">
        <v>6</v>
      </c>
      <c r="G97" s="8">
        <v>7.5</v>
      </c>
      <c r="H97" s="8">
        <v>7.5</v>
      </c>
      <c r="I97" s="8">
        <v>7.5</v>
      </c>
      <c r="J97" s="8">
        <v>7.5</v>
      </c>
      <c r="K97" s="8">
        <v>7.5</v>
      </c>
      <c r="L97" s="8">
        <v>7.5</v>
      </c>
      <c r="M97" s="8"/>
      <c r="N97" s="8"/>
      <c r="O97" s="8"/>
    </row>
    <row r="98" spans="1:15" ht="12.75">
      <c r="A98" s="8" t="s">
        <v>18</v>
      </c>
      <c r="B98" s="9">
        <v>45411</v>
      </c>
      <c r="C98" s="8" t="s">
        <v>599</v>
      </c>
      <c r="D98" s="8" t="s">
        <v>307</v>
      </c>
      <c r="E98" s="8">
        <v>4409495653</v>
      </c>
      <c r="F98" s="8">
        <v>8</v>
      </c>
      <c r="G98" s="8">
        <v>10</v>
      </c>
      <c r="H98" s="8">
        <v>7.5</v>
      </c>
      <c r="I98" s="8">
        <v>10</v>
      </c>
      <c r="J98" s="8">
        <v>7.5</v>
      </c>
      <c r="K98" s="8">
        <v>7.5</v>
      </c>
      <c r="L98" s="8">
        <v>10</v>
      </c>
      <c r="M98" s="8" t="s">
        <v>600</v>
      </c>
      <c r="N98" s="8" t="s">
        <v>601</v>
      </c>
      <c r="O98" s="8" t="s">
        <v>56</v>
      </c>
    </row>
    <row r="99" spans="1:15" ht="12.75">
      <c r="A99" s="8" t="s">
        <v>18</v>
      </c>
      <c r="B99" s="9">
        <v>45411</v>
      </c>
      <c r="C99" s="8" t="s">
        <v>446</v>
      </c>
      <c r="D99" s="8" t="s">
        <v>36</v>
      </c>
      <c r="E99" s="8">
        <v>4046851890</v>
      </c>
      <c r="F99" s="8">
        <v>7</v>
      </c>
      <c r="G99" s="8">
        <v>7.5</v>
      </c>
      <c r="H99" s="8">
        <v>7.5</v>
      </c>
      <c r="I99" s="8">
        <v>10</v>
      </c>
      <c r="J99" s="8">
        <v>7.5</v>
      </c>
      <c r="K99" s="8">
        <v>7.5</v>
      </c>
      <c r="L99" s="8">
        <v>10</v>
      </c>
      <c r="M99" s="8" t="s">
        <v>602</v>
      </c>
      <c r="N99" s="8" t="s">
        <v>603</v>
      </c>
      <c r="O99" s="8"/>
    </row>
    <row r="100" spans="1:15" ht="12.75">
      <c r="A100" s="8" t="s">
        <v>18</v>
      </c>
      <c r="B100" s="9">
        <v>45411</v>
      </c>
      <c r="C100" s="8" t="s">
        <v>604</v>
      </c>
      <c r="D100" s="8" t="s">
        <v>93</v>
      </c>
      <c r="E100" s="8">
        <v>4413840146</v>
      </c>
      <c r="F100" s="8">
        <v>9</v>
      </c>
      <c r="G100" s="8">
        <v>10</v>
      </c>
      <c r="H100" s="8">
        <v>10</v>
      </c>
      <c r="I100" s="8">
        <v>10</v>
      </c>
      <c r="J100" s="8">
        <v>7.5</v>
      </c>
      <c r="K100" s="8">
        <v>7.5</v>
      </c>
      <c r="L100" s="8">
        <v>10</v>
      </c>
      <c r="M100" s="8" t="s">
        <v>605</v>
      </c>
      <c r="N100" s="8" t="s">
        <v>606</v>
      </c>
      <c r="O100" s="8" t="s">
        <v>56</v>
      </c>
    </row>
    <row r="101" spans="1:15" ht="12.75">
      <c r="A101" s="8" t="s">
        <v>18</v>
      </c>
      <c r="B101" s="9">
        <v>45411</v>
      </c>
      <c r="C101" s="8" t="s">
        <v>607</v>
      </c>
      <c r="D101" s="8" t="s">
        <v>608</v>
      </c>
      <c r="E101" s="8">
        <v>4393348896</v>
      </c>
      <c r="F101" s="8">
        <v>8</v>
      </c>
      <c r="G101" s="8">
        <v>10</v>
      </c>
      <c r="H101" s="8">
        <v>7.5</v>
      </c>
      <c r="I101" s="8">
        <v>10</v>
      </c>
      <c r="J101" s="8">
        <v>10</v>
      </c>
      <c r="K101" s="8">
        <v>7.5</v>
      </c>
      <c r="L101" s="8">
        <v>7.5</v>
      </c>
      <c r="M101" s="8"/>
      <c r="N101" s="8"/>
      <c r="O101" s="8"/>
    </row>
    <row r="102" spans="1:15" ht="12.75">
      <c r="A102" s="8" t="s">
        <v>18</v>
      </c>
      <c r="B102" s="9">
        <v>45410</v>
      </c>
      <c r="C102" s="8" t="s">
        <v>609</v>
      </c>
      <c r="D102" s="8" t="s">
        <v>610</v>
      </c>
      <c r="E102" s="8">
        <v>4967592848</v>
      </c>
      <c r="F102" s="8">
        <v>5</v>
      </c>
      <c r="G102" s="8">
        <v>7.5</v>
      </c>
      <c r="H102" s="8">
        <v>2.5</v>
      </c>
      <c r="I102" s="8">
        <v>10</v>
      </c>
      <c r="J102" s="8">
        <v>5</v>
      </c>
      <c r="K102" s="8">
        <v>5</v>
      </c>
      <c r="L102" s="8">
        <v>5</v>
      </c>
      <c r="M102" s="8"/>
      <c r="N102" s="8"/>
      <c r="O102" s="8" t="s">
        <v>34</v>
      </c>
    </row>
    <row r="103" spans="1:15" ht="12.75">
      <c r="A103" s="8" t="s">
        <v>18</v>
      </c>
      <c r="B103" s="9">
        <v>45410</v>
      </c>
      <c r="C103" s="8" t="s">
        <v>611</v>
      </c>
      <c r="D103" s="8" t="s">
        <v>171</v>
      </c>
      <c r="E103" s="8">
        <v>4880025407</v>
      </c>
      <c r="F103" s="8">
        <v>3</v>
      </c>
      <c r="G103" s="8">
        <v>10</v>
      </c>
      <c r="H103" s="8">
        <v>2.5</v>
      </c>
      <c r="I103" s="8">
        <v>10</v>
      </c>
      <c r="J103" s="8">
        <v>2.5</v>
      </c>
      <c r="K103" s="8">
        <v>2.5</v>
      </c>
      <c r="L103" s="8">
        <v>2.5</v>
      </c>
      <c r="M103" s="8" t="s">
        <v>612</v>
      </c>
      <c r="N103" s="8" t="s">
        <v>613</v>
      </c>
      <c r="O103" s="8"/>
    </row>
    <row r="104" spans="1:15" ht="12.75">
      <c r="A104" s="8" t="s">
        <v>18</v>
      </c>
      <c r="B104" s="9">
        <v>45409</v>
      </c>
      <c r="C104" s="8" t="s">
        <v>614</v>
      </c>
      <c r="D104" s="8" t="s">
        <v>60</v>
      </c>
      <c r="E104" s="8">
        <v>4771756562</v>
      </c>
      <c r="F104" s="8">
        <v>8</v>
      </c>
      <c r="G104" s="8">
        <v>7.5</v>
      </c>
      <c r="H104" s="8">
        <v>7.5</v>
      </c>
      <c r="I104" s="8">
        <v>10</v>
      </c>
      <c r="J104" s="8">
        <v>7.5</v>
      </c>
      <c r="K104" s="8">
        <v>7.5</v>
      </c>
      <c r="L104" s="8">
        <v>7.5</v>
      </c>
      <c r="M104" s="8"/>
      <c r="N104" s="8"/>
      <c r="O104" s="8"/>
    </row>
    <row r="105" spans="1:15" ht="12.75">
      <c r="A105" s="8" t="s">
        <v>18</v>
      </c>
      <c r="B105" s="9">
        <v>45409</v>
      </c>
      <c r="C105" s="8" t="s">
        <v>615</v>
      </c>
      <c r="D105" s="8" t="s">
        <v>616</v>
      </c>
      <c r="E105" s="8">
        <v>4822536390</v>
      </c>
      <c r="F105" s="8">
        <v>7</v>
      </c>
      <c r="G105" s="8">
        <v>10</v>
      </c>
      <c r="H105" s="8">
        <v>5</v>
      </c>
      <c r="I105" s="8">
        <v>10</v>
      </c>
      <c r="J105" s="8">
        <v>7.5</v>
      </c>
      <c r="K105" s="8">
        <v>7.5</v>
      </c>
      <c r="L105" s="8">
        <v>10</v>
      </c>
      <c r="M105" s="8"/>
      <c r="N105" s="8"/>
      <c r="O105" s="8" t="s">
        <v>617</v>
      </c>
    </row>
    <row r="106" spans="1:15" ht="12.75">
      <c r="A106" s="8" t="s">
        <v>18</v>
      </c>
      <c r="B106" s="9">
        <v>45409</v>
      </c>
      <c r="C106" s="8" t="s">
        <v>618</v>
      </c>
      <c r="D106" s="8" t="s">
        <v>20</v>
      </c>
      <c r="E106" s="8">
        <v>4503843305</v>
      </c>
      <c r="F106" s="8">
        <v>8</v>
      </c>
      <c r="G106" s="8">
        <v>10</v>
      </c>
      <c r="H106" s="8">
        <v>7.5</v>
      </c>
      <c r="I106" s="8">
        <v>10</v>
      </c>
      <c r="J106" s="8">
        <v>7.5</v>
      </c>
      <c r="K106" s="8">
        <v>10</v>
      </c>
      <c r="L106" s="8">
        <v>10</v>
      </c>
      <c r="M106" s="8"/>
      <c r="N106" s="8"/>
      <c r="O106" s="8" t="s">
        <v>56</v>
      </c>
    </row>
    <row r="107" spans="1:15" ht="12.75">
      <c r="A107" s="8" t="s">
        <v>18</v>
      </c>
      <c r="B107" s="9">
        <v>45409</v>
      </c>
      <c r="C107" s="8" t="s">
        <v>619</v>
      </c>
      <c r="D107" s="8" t="s">
        <v>45</v>
      </c>
      <c r="E107" s="8">
        <v>4291071277</v>
      </c>
      <c r="F107" s="8">
        <v>8</v>
      </c>
      <c r="G107" s="8">
        <v>10</v>
      </c>
      <c r="H107" s="8">
        <v>7.5</v>
      </c>
      <c r="I107" s="8">
        <v>10</v>
      </c>
      <c r="J107" s="8">
        <v>7.5</v>
      </c>
      <c r="K107" s="8">
        <v>7.5</v>
      </c>
      <c r="L107" s="8">
        <v>7.5</v>
      </c>
      <c r="M107" s="8" t="s">
        <v>620</v>
      </c>
      <c r="N107" s="8" t="s">
        <v>621</v>
      </c>
      <c r="O107" s="8" t="s">
        <v>56</v>
      </c>
    </row>
    <row r="108" spans="1:15" ht="12.75">
      <c r="A108" s="8" t="s">
        <v>18</v>
      </c>
      <c r="B108" s="9">
        <v>45409</v>
      </c>
      <c r="C108" s="8" t="s">
        <v>622</v>
      </c>
      <c r="D108" s="8" t="s">
        <v>310</v>
      </c>
      <c r="E108" s="8">
        <v>4049527109</v>
      </c>
      <c r="F108" s="8">
        <v>9</v>
      </c>
      <c r="G108" s="8">
        <v>10</v>
      </c>
      <c r="H108" s="8">
        <v>10</v>
      </c>
      <c r="I108" s="8">
        <v>10</v>
      </c>
      <c r="J108" s="8">
        <v>7.5</v>
      </c>
      <c r="K108" s="8">
        <v>7.5</v>
      </c>
      <c r="L108" s="8">
        <v>10</v>
      </c>
      <c r="M108" s="8" t="s">
        <v>623</v>
      </c>
      <c r="N108" s="8" t="s">
        <v>624</v>
      </c>
      <c r="O108" s="8"/>
    </row>
    <row r="109" spans="1:15" ht="12.75">
      <c r="A109" s="8" t="s">
        <v>18</v>
      </c>
      <c r="B109" s="9">
        <v>45408</v>
      </c>
      <c r="C109" s="8" t="s">
        <v>625</v>
      </c>
      <c r="D109" s="8" t="s">
        <v>33</v>
      </c>
      <c r="E109" s="8">
        <v>4325313569</v>
      </c>
      <c r="F109" s="8">
        <v>8</v>
      </c>
      <c r="G109" s="8">
        <v>5</v>
      </c>
      <c r="H109" s="8">
        <v>5</v>
      </c>
      <c r="I109" s="8">
        <v>5</v>
      </c>
      <c r="J109" s="8">
        <v>7.5</v>
      </c>
      <c r="K109" s="8">
        <v>7.5</v>
      </c>
      <c r="L109" s="8">
        <v>5</v>
      </c>
      <c r="M109" s="8" t="s">
        <v>626</v>
      </c>
      <c r="N109" s="8" t="s">
        <v>627</v>
      </c>
      <c r="O109" s="8"/>
    </row>
    <row r="110" spans="1:15" ht="12.75">
      <c r="A110" s="8" t="s">
        <v>18</v>
      </c>
      <c r="B110" s="9">
        <v>45407</v>
      </c>
      <c r="C110" s="8" t="s">
        <v>628</v>
      </c>
      <c r="D110" s="8" t="s">
        <v>20</v>
      </c>
      <c r="E110" s="8">
        <v>4982057823</v>
      </c>
      <c r="F110" s="8">
        <v>10</v>
      </c>
      <c r="G110" s="8">
        <v>10</v>
      </c>
      <c r="H110" s="8">
        <v>10</v>
      </c>
      <c r="I110" s="8">
        <v>10</v>
      </c>
      <c r="J110" s="8">
        <v>10</v>
      </c>
      <c r="K110" s="8">
        <v>10</v>
      </c>
      <c r="L110" s="8">
        <v>10</v>
      </c>
      <c r="M110" s="8"/>
      <c r="N110" s="8"/>
      <c r="O110" s="8"/>
    </row>
    <row r="111" spans="1:15" ht="12.75">
      <c r="A111" s="8" t="s">
        <v>18</v>
      </c>
      <c r="B111" s="9">
        <v>45407</v>
      </c>
      <c r="C111" s="8" t="s">
        <v>585</v>
      </c>
      <c r="D111" s="8" t="s">
        <v>60</v>
      </c>
      <c r="E111" s="8">
        <v>4695486484</v>
      </c>
      <c r="F111" s="8">
        <v>8</v>
      </c>
      <c r="G111" s="8">
        <v>7.5</v>
      </c>
      <c r="H111" s="8">
        <v>7.5</v>
      </c>
      <c r="I111" s="8">
        <v>7.5</v>
      </c>
      <c r="J111" s="8">
        <v>7.5</v>
      </c>
      <c r="K111" s="8">
        <v>7.5</v>
      </c>
      <c r="L111" s="8">
        <v>7.5</v>
      </c>
      <c r="M111" s="8"/>
      <c r="N111" s="8"/>
      <c r="O111" s="8" t="s">
        <v>629</v>
      </c>
    </row>
    <row r="112" spans="1:15" ht="12.75">
      <c r="A112" s="8" t="s">
        <v>18</v>
      </c>
      <c r="B112" s="9">
        <v>45406</v>
      </c>
      <c r="C112" s="8" t="s">
        <v>630</v>
      </c>
      <c r="D112" s="8" t="s">
        <v>45</v>
      </c>
      <c r="E112" s="8">
        <v>4198215562</v>
      </c>
      <c r="F112" s="8">
        <v>10</v>
      </c>
      <c r="G112" s="8">
        <v>10</v>
      </c>
      <c r="H112" s="8">
        <v>10</v>
      </c>
      <c r="I112" s="8">
        <v>10</v>
      </c>
      <c r="J112" s="8">
        <v>10</v>
      </c>
      <c r="K112" s="8">
        <v>10</v>
      </c>
      <c r="L112" s="8">
        <v>10</v>
      </c>
      <c r="M112" s="8" t="s">
        <v>631</v>
      </c>
      <c r="N112" s="8"/>
      <c r="O112" s="8"/>
    </row>
    <row r="113" spans="1:15" ht="12.75">
      <c r="A113" s="8" t="s">
        <v>18</v>
      </c>
      <c r="B113" s="9">
        <v>45406</v>
      </c>
      <c r="C113" s="8" t="s">
        <v>490</v>
      </c>
      <c r="D113" s="8" t="s">
        <v>58</v>
      </c>
      <c r="E113" s="8">
        <v>4811659896</v>
      </c>
      <c r="F113" s="8">
        <v>10</v>
      </c>
      <c r="G113" s="8">
        <v>10</v>
      </c>
      <c r="H113" s="8">
        <v>10</v>
      </c>
      <c r="I113" s="8">
        <v>10</v>
      </c>
      <c r="J113" s="8">
        <v>7.5</v>
      </c>
      <c r="K113" s="8">
        <v>10</v>
      </c>
      <c r="L113" s="8">
        <v>10</v>
      </c>
      <c r="M113" s="8"/>
      <c r="N113" s="8"/>
      <c r="O113" s="8"/>
    </row>
    <row r="114" spans="1:15" ht="12.75">
      <c r="A114" s="8" t="s">
        <v>18</v>
      </c>
      <c r="B114" s="9">
        <v>45406</v>
      </c>
      <c r="C114" s="8" t="s">
        <v>632</v>
      </c>
      <c r="D114" s="8" t="s">
        <v>25</v>
      </c>
      <c r="E114" s="8">
        <v>4642917752</v>
      </c>
      <c r="F114" s="8">
        <v>7</v>
      </c>
      <c r="G114" s="8">
        <v>7.5</v>
      </c>
      <c r="H114" s="8">
        <v>7.5</v>
      </c>
      <c r="I114" s="8">
        <v>7.5</v>
      </c>
      <c r="J114" s="8">
        <v>7.5</v>
      </c>
      <c r="K114" s="8">
        <v>10</v>
      </c>
      <c r="L114" s="8">
        <v>7.5</v>
      </c>
      <c r="M114" s="8"/>
      <c r="N114" s="8"/>
      <c r="O114" s="8"/>
    </row>
    <row r="115" spans="1:15" ht="12.75">
      <c r="A115" s="8" t="s">
        <v>18</v>
      </c>
      <c r="B115" s="9">
        <v>45406</v>
      </c>
      <c r="C115" s="8" t="s">
        <v>544</v>
      </c>
      <c r="D115" s="8" t="s">
        <v>60</v>
      </c>
      <c r="E115" s="8">
        <v>4157119059</v>
      </c>
      <c r="F115" s="8">
        <v>9</v>
      </c>
      <c r="G115" s="8">
        <v>10</v>
      </c>
      <c r="H115" s="8">
        <v>10</v>
      </c>
      <c r="I115" s="8">
        <v>10</v>
      </c>
      <c r="J115" s="8">
        <v>7.5</v>
      </c>
      <c r="K115" s="8">
        <v>7.5</v>
      </c>
      <c r="L115" s="8">
        <v>10</v>
      </c>
      <c r="M115" s="8" t="s">
        <v>633</v>
      </c>
      <c r="N115" s="8" t="s">
        <v>634</v>
      </c>
      <c r="O115" s="8"/>
    </row>
    <row r="116" spans="1:15" ht="12.75">
      <c r="A116" s="8" t="s">
        <v>18</v>
      </c>
      <c r="B116" s="9">
        <v>45406</v>
      </c>
      <c r="C116" s="8" t="s">
        <v>635</v>
      </c>
      <c r="D116" s="8" t="s">
        <v>20</v>
      </c>
      <c r="E116" s="8">
        <v>4232233156</v>
      </c>
      <c r="F116" s="8">
        <v>8</v>
      </c>
      <c r="G116" s="8">
        <v>7.5</v>
      </c>
      <c r="H116" s="8">
        <v>7.5</v>
      </c>
      <c r="I116" s="8">
        <v>10</v>
      </c>
      <c r="J116" s="8">
        <v>7.5</v>
      </c>
      <c r="K116" s="8">
        <v>7.5</v>
      </c>
      <c r="L116" s="8">
        <v>7.5</v>
      </c>
      <c r="M116" s="8" t="s">
        <v>636</v>
      </c>
      <c r="N116" s="8" t="s">
        <v>637</v>
      </c>
      <c r="O116" s="8"/>
    </row>
    <row r="117" spans="1:15" ht="12.75">
      <c r="A117" s="8" t="s">
        <v>18</v>
      </c>
      <c r="B117" s="9">
        <v>45405</v>
      </c>
      <c r="C117" s="8" t="s">
        <v>229</v>
      </c>
      <c r="D117" s="8" t="s">
        <v>638</v>
      </c>
      <c r="E117" s="8">
        <v>4149082691</v>
      </c>
      <c r="F117" s="8">
        <v>8</v>
      </c>
      <c r="G117" s="8">
        <v>10</v>
      </c>
      <c r="H117" s="8">
        <v>7.5</v>
      </c>
      <c r="I117" s="8">
        <v>10</v>
      </c>
      <c r="J117" s="8">
        <v>10</v>
      </c>
      <c r="K117" s="8">
        <v>7.5</v>
      </c>
      <c r="L117" s="8">
        <v>10</v>
      </c>
      <c r="M117" s="8" t="s">
        <v>639</v>
      </c>
      <c r="N117" s="8" t="s">
        <v>640</v>
      </c>
      <c r="O117" s="8" t="s">
        <v>34</v>
      </c>
    </row>
    <row r="118" spans="1:15" ht="12.75">
      <c r="A118" s="8" t="s">
        <v>18</v>
      </c>
      <c r="B118" s="9">
        <v>45405</v>
      </c>
      <c r="C118" s="8" t="s">
        <v>641</v>
      </c>
      <c r="D118" s="8" t="s">
        <v>148</v>
      </c>
      <c r="E118" s="8">
        <v>4119652065</v>
      </c>
      <c r="F118" s="8">
        <v>8</v>
      </c>
      <c r="G118" s="8">
        <v>10</v>
      </c>
      <c r="H118" s="8">
        <v>10</v>
      </c>
      <c r="I118" s="8">
        <v>10</v>
      </c>
      <c r="J118" s="8">
        <v>10</v>
      </c>
      <c r="K118" s="8">
        <v>7.5</v>
      </c>
      <c r="L118" s="8">
        <v>10</v>
      </c>
      <c r="M118" s="8" t="s">
        <v>642</v>
      </c>
      <c r="N118" s="8" t="s">
        <v>643</v>
      </c>
      <c r="O118" s="8"/>
    </row>
    <row r="119" spans="1:15" ht="12.75">
      <c r="A119" s="8" t="s">
        <v>18</v>
      </c>
      <c r="B119" s="9">
        <v>45404</v>
      </c>
      <c r="C119" s="8" t="s">
        <v>644</v>
      </c>
      <c r="D119" s="8" t="s">
        <v>60</v>
      </c>
      <c r="E119" s="8">
        <v>4883071082</v>
      </c>
      <c r="F119" s="8">
        <v>8</v>
      </c>
      <c r="G119" s="8">
        <v>7.5</v>
      </c>
      <c r="H119" s="8">
        <v>7.5</v>
      </c>
      <c r="I119" s="8">
        <v>10</v>
      </c>
      <c r="J119" s="8">
        <v>5</v>
      </c>
      <c r="K119" s="8">
        <v>7.5</v>
      </c>
      <c r="L119" s="8">
        <v>7.5</v>
      </c>
      <c r="M119" s="8" t="s">
        <v>645</v>
      </c>
      <c r="N119" s="8"/>
      <c r="O119" s="8" t="s">
        <v>34</v>
      </c>
    </row>
    <row r="120" spans="1:15" ht="12.75">
      <c r="A120" s="8" t="s">
        <v>18</v>
      </c>
      <c r="B120" s="9">
        <v>45412</v>
      </c>
      <c r="C120" s="8" t="s">
        <v>646</v>
      </c>
      <c r="D120" s="8" t="s">
        <v>647</v>
      </c>
      <c r="E120" s="8">
        <v>4967577590</v>
      </c>
      <c r="F120" s="8">
        <v>9.25</v>
      </c>
      <c r="G120" s="8">
        <v>10</v>
      </c>
      <c r="H120" s="8">
        <v>10</v>
      </c>
      <c r="I120" s="8">
        <v>10</v>
      </c>
      <c r="J120" s="8">
        <v>7.5</v>
      </c>
      <c r="K120" s="8">
        <v>10</v>
      </c>
      <c r="L120" s="8">
        <v>10</v>
      </c>
      <c r="M120" s="8"/>
      <c r="N120" s="8"/>
      <c r="O120" s="8"/>
    </row>
    <row r="121" spans="1:15" ht="12.75">
      <c r="A121" s="8" t="s">
        <v>350</v>
      </c>
      <c r="B121" s="9">
        <v>45409</v>
      </c>
      <c r="C121" s="8" t="s">
        <v>648</v>
      </c>
      <c r="D121" s="8" t="s">
        <v>317</v>
      </c>
      <c r="E121" s="8">
        <v>206620659</v>
      </c>
      <c r="F121" s="15">
        <v>45332</v>
      </c>
      <c r="G121" s="8"/>
      <c r="H121" s="8"/>
      <c r="I121" s="8"/>
      <c r="J121" s="8"/>
      <c r="K121" s="8"/>
      <c r="L121" s="8"/>
      <c r="M121" s="8"/>
      <c r="N121" s="8"/>
      <c r="O121" s="8" t="s">
        <v>649</v>
      </c>
    </row>
    <row r="122" spans="1:15" ht="12.75">
      <c r="A122" s="8" t="s">
        <v>350</v>
      </c>
      <c r="B122" s="9">
        <v>45406</v>
      </c>
      <c r="C122" s="8" t="s">
        <v>650</v>
      </c>
      <c r="D122" s="8" t="s">
        <v>43</v>
      </c>
      <c r="E122" s="8">
        <v>221291305</v>
      </c>
      <c r="F122" s="15">
        <v>45332</v>
      </c>
      <c r="G122" s="8"/>
      <c r="H122" s="8"/>
      <c r="I122" s="8"/>
      <c r="J122" s="8"/>
      <c r="K122" s="8"/>
      <c r="L122" s="8"/>
      <c r="M122" s="8"/>
      <c r="N122" s="8" t="s">
        <v>651</v>
      </c>
      <c r="O122" s="8" t="s">
        <v>652</v>
      </c>
    </row>
    <row r="123" spans="1:15" ht="12.75">
      <c r="A123" s="8" t="s">
        <v>350</v>
      </c>
      <c r="B123" s="9">
        <v>45394</v>
      </c>
      <c r="C123" s="8" t="s">
        <v>653</v>
      </c>
      <c r="D123" s="8" t="s">
        <v>654</v>
      </c>
      <c r="E123" s="8">
        <v>210534962</v>
      </c>
      <c r="F123" s="15">
        <v>45453</v>
      </c>
      <c r="G123" s="8"/>
      <c r="H123" s="8"/>
      <c r="I123" s="8"/>
      <c r="J123" s="8"/>
      <c r="K123" s="8"/>
      <c r="L123" s="8"/>
      <c r="M123" s="8" t="s">
        <v>655</v>
      </c>
      <c r="N123" s="8"/>
      <c r="O123" s="8" t="s">
        <v>656</v>
      </c>
    </row>
    <row r="124" spans="1:15" ht="12.75">
      <c r="A124" s="8" t="s">
        <v>350</v>
      </c>
      <c r="B124" s="9">
        <v>45393</v>
      </c>
      <c r="C124" s="8" t="s">
        <v>657</v>
      </c>
      <c r="D124" s="8" t="s">
        <v>647</v>
      </c>
      <c r="E124" s="8">
        <v>211101068</v>
      </c>
      <c r="F124" s="15">
        <v>45575</v>
      </c>
      <c r="G124" s="8"/>
      <c r="H124" s="8"/>
      <c r="I124" s="8"/>
      <c r="J124" s="8"/>
      <c r="K124" s="8"/>
      <c r="L124" s="8"/>
      <c r="M124" s="8" t="s">
        <v>658</v>
      </c>
      <c r="N124" s="8"/>
      <c r="O124" s="8" t="s">
        <v>659</v>
      </c>
    </row>
    <row r="125" spans="1:15" ht="12.75">
      <c r="A125" s="8" t="s">
        <v>350</v>
      </c>
      <c r="B125" s="9">
        <v>45391</v>
      </c>
      <c r="C125" s="8" t="s">
        <v>660</v>
      </c>
      <c r="D125" s="8" t="s">
        <v>105</v>
      </c>
      <c r="E125" s="8">
        <v>203644422</v>
      </c>
      <c r="F125" s="15">
        <v>45575</v>
      </c>
      <c r="G125" s="8"/>
      <c r="H125" s="8"/>
      <c r="I125" s="8"/>
      <c r="J125" s="8"/>
      <c r="K125" s="8"/>
      <c r="L125" s="8"/>
      <c r="M125" s="8"/>
      <c r="N125" s="8"/>
      <c r="O125" s="8" t="s">
        <v>661</v>
      </c>
    </row>
    <row r="126" spans="1:15" ht="12.75">
      <c r="A126" s="8" t="s">
        <v>350</v>
      </c>
      <c r="B126" s="9">
        <v>45389</v>
      </c>
      <c r="C126" s="8" t="s">
        <v>662</v>
      </c>
      <c r="D126" s="8" t="s">
        <v>654</v>
      </c>
      <c r="E126" s="8">
        <v>206560509</v>
      </c>
      <c r="F126" s="15">
        <v>45514</v>
      </c>
      <c r="G126" s="8"/>
      <c r="H126" s="8"/>
      <c r="I126" s="8"/>
      <c r="J126" s="8"/>
      <c r="K126" s="8"/>
      <c r="L126" s="8"/>
      <c r="M126" s="8"/>
      <c r="N126" s="8"/>
      <c r="O126" s="8" t="s">
        <v>663</v>
      </c>
    </row>
    <row r="127" spans="1:15" ht="12.75">
      <c r="A127" s="8" t="s">
        <v>350</v>
      </c>
      <c r="B127" s="9">
        <v>45386</v>
      </c>
      <c r="C127" s="8" t="s">
        <v>664</v>
      </c>
      <c r="D127" s="8" t="s">
        <v>654</v>
      </c>
      <c r="E127" s="8">
        <v>198430640</v>
      </c>
      <c r="F127" s="15">
        <v>45575</v>
      </c>
      <c r="G127" s="8"/>
      <c r="H127" s="8"/>
      <c r="I127" s="8"/>
      <c r="J127" s="8"/>
      <c r="K127" s="8"/>
      <c r="L127" s="8"/>
      <c r="M127" s="8"/>
      <c r="N127" s="8" t="s">
        <v>665</v>
      </c>
      <c r="O127" s="8" t="s">
        <v>666</v>
      </c>
    </row>
    <row r="128" spans="1:15" ht="12.75">
      <c r="A128" s="8" t="s">
        <v>350</v>
      </c>
      <c r="B128" s="9">
        <v>45385</v>
      </c>
      <c r="C128" s="8" t="s">
        <v>457</v>
      </c>
      <c r="D128" s="8" t="s">
        <v>134</v>
      </c>
      <c r="E128" s="8">
        <v>188490841</v>
      </c>
      <c r="F128" s="15">
        <v>45332</v>
      </c>
      <c r="G128" s="8"/>
      <c r="H128" s="8"/>
      <c r="I128" s="8"/>
      <c r="J128" s="8"/>
      <c r="K128" s="8"/>
      <c r="L128" s="8"/>
      <c r="M128" s="8" t="s">
        <v>667</v>
      </c>
      <c r="N128" s="8" t="s">
        <v>668</v>
      </c>
      <c r="O128" s="8" t="s">
        <v>669</v>
      </c>
    </row>
    <row r="129" spans="1:15" ht="12.75">
      <c r="A129" s="8" t="s">
        <v>357</v>
      </c>
      <c r="B129" s="9">
        <v>45411</v>
      </c>
      <c r="C129" s="27" t="s">
        <v>670</v>
      </c>
      <c r="D129" s="8" t="s">
        <v>134</v>
      </c>
      <c r="E129" s="8">
        <v>61310795</v>
      </c>
      <c r="F129" s="8">
        <v>6.6</v>
      </c>
      <c r="G129" s="8">
        <v>8</v>
      </c>
      <c r="H129" s="8">
        <v>6</v>
      </c>
      <c r="I129" s="8">
        <v>10</v>
      </c>
      <c r="J129" s="8">
        <v>8</v>
      </c>
      <c r="K129" s="8">
        <v>4</v>
      </c>
      <c r="L129" s="8">
        <v>6</v>
      </c>
      <c r="M129" s="8" t="s">
        <v>671</v>
      </c>
      <c r="N129" s="8" t="s">
        <v>671</v>
      </c>
      <c r="O129" s="8"/>
    </row>
    <row r="130" spans="1:15" ht="12.75">
      <c r="A130" s="8" t="s">
        <v>357</v>
      </c>
      <c r="B130" s="9">
        <v>45402</v>
      </c>
      <c r="C130" s="27" t="s">
        <v>672</v>
      </c>
      <c r="D130" s="8" t="s">
        <v>148</v>
      </c>
      <c r="E130" s="8">
        <v>561112507</v>
      </c>
      <c r="F130" s="8">
        <v>10</v>
      </c>
      <c r="G130" s="8">
        <v>10</v>
      </c>
      <c r="H130" s="8">
        <v>10</v>
      </c>
      <c r="I130" s="8">
        <v>10</v>
      </c>
      <c r="J130" s="8">
        <v>10</v>
      </c>
      <c r="K130" s="8">
        <v>10</v>
      </c>
      <c r="L130" s="8">
        <v>10</v>
      </c>
      <c r="M130" s="8" t="s">
        <v>673</v>
      </c>
      <c r="N130" s="8"/>
      <c r="O130" s="8"/>
    </row>
    <row r="131" spans="1:15" ht="12.75">
      <c r="A131" s="8" t="s">
        <v>357</v>
      </c>
      <c r="B131" s="9">
        <v>45394</v>
      </c>
      <c r="C131" s="27" t="s">
        <v>674</v>
      </c>
      <c r="D131" s="8" t="s">
        <v>43</v>
      </c>
      <c r="E131" s="8">
        <v>560211223</v>
      </c>
      <c r="F131" s="8">
        <v>6</v>
      </c>
      <c r="G131" s="8">
        <v>4</v>
      </c>
      <c r="H131" s="8">
        <v>6</v>
      </c>
      <c r="I131" s="8">
        <v>8</v>
      </c>
      <c r="J131" s="8">
        <v>10</v>
      </c>
      <c r="K131" s="8">
        <v>6</v>
      </c>
      <c r="L131" s="8">
        <v>2</v>
      </c>
      <c r="M131" s="8" t="s">
        <v>671</v>
      </c>
      <c r="N131" s="8" t="s">
        <v>671</v>
      </c>
      <c r="O131" s="8"/>
    </row>
    <row r="132" spans="1:15" ht="12.75">
      <c r="A132" s="8" t="s">
        <v>357</v>
      </c>
      <c r="B132" s="9">
        <v>45386</v>
      </c>
      <c r="C132" s="27" t="s">
        <v>229</v>
      </c>
      <c r="D132" s="8" t="s">
        <v>317</v>
      </c>
      <c r="E132" s="8">
        <v>560324251</v>
      </c>
      <c r="F132" s="8">
        <v>8.6</v>
      </c>
      <c r="G132" s="8">
        <v>8</v>
      </c>
      <c r="H132" s="8">
        <v>8</v>
      </c>
      <c r="I132" s="8">
        <v>10</v>
      </c>
      <c r="J132" s="8">
        <v>10</v>
      </c>
      <c r="K132" s="8">
        <v>8</v>
      </c>
      <c r="L132" s="8">
        <v>8</v>
      </c>
      <c r="M132" s="8" t="s">
        <v>675</v>
      </c>
      <c r="N132" s="8" t="s">
        <v>676</v>
      </c>
      <c r="O132" s="8"/>
    </row>
    <row r="133" spans="1:15" ht="12.75">
      <c r="A133" s="8" t="s">
        <v>369</v>
      </c>
      <c r="B133" s="9">
        <v>45400</v>
      </c>
      <c r="C133" s="8" t="s">
        <v>677</v>
      </c>
      <c r="D133" s="8"/>
      <c r="E133" s="8"/>
      <c r="F133" s="8">
        <v>4</v>
      </c>
      <c r="G133" s="8"/>
      <c r="H133" s="8">
        <v>4</v>
      </c>
      <c r="I133" s="8">
        <v>5</v>
      </c>
      <c r="J133" s="8"/>
      <c r="K133" s="8"/>
      <c r="L133" s="8"/>
      <c r="M133" s="8" t="s">
        <v>678</v>
      </c>
      <c r="N133" s="8"/>
      <c r="O133" s="8" t="s">
        <v>679</v>
      </c>
    </row>
    <row r="134" spans="1:15" ht="12.75">
      <c r="A134" s="8" t="s">
        <v>369</v>
      </c>
      <c r="B134" s="9">
        <v>45403</v>
      </c>
      <c r="C134" s="8" t="s">
        <v>680</v>
      </c>
      <c r="D134" s="8"/>
      <c r="E134" s="8"/>
      <c r="F134" s="8">
        <v>5</v>
      </c>
      <c r="G134" s="8"/>
      <c r="H134" s="8">
        <v>4</v>
      </c>
      <c r="I134" s="8">
        <v>5</v>
      </c>
      <c r="J134" s="8"/>
      <c r="K134" s="8"/>
      <c r="L134" s="8"/>
      <c r="M134" s="8" t="s">
        <v>681</v>
      </c>
      <c r="N134" s="8"/>
      <c r="O134" s="8"/>
    </row>
    <row r="135" spans="1:15" ht="12.75">
      <c r="A135" s="8" t="s">
        <v>369</v>
      </c>
      <c r="B135" s="9">
        <v>45408</v>
      </c>
      <c r="C135" s="8" t="s">
        <v>682</v>
      </c>
      <c r="D135" s="8"/>
      <c r="E135" s="8"/>
      <c r="F135" s="8">
        <v>5</v>
      </c>
      <c r="G135" s="8"/>
      <c r="H135" s="8">
        <v>5</v>
      </c>
      <c r="I135" s="8">
        <v>5</v>
      </c>
      <c r="J135" s="8"/>
      <c r="K135" s="8"/>
      <c r="L135" s="8"/>
      <c r="M135" s="8" t="s">
        <v>683</v>
      </c>
      <c r="N135" s="8"/>
      <c r="O135" s="8" t="s">
        <v>684</v>
      </c>
    </row>
    <row r="136" spans="1:15" ht="12.75">
      <c r="A136" s="8" t="s">
        <v>369</v>
      </c>
      <c r="B136" s="9">
        <v>45411</v>
      </c>
      <c r="C136" s="8" t="s">
        <v>685</v>
      </c>
      <c r="D136" s="8"/>
      <c r="E136" s="8"/>
      <c r="F136" s="8">
        <v>4</v>
      </c>
      <c r="G136" s="8"/>
      <c r="H136" s="8">
        <v>3</v>
      </c>
      <c r="I136" s="8">
        <v>5</v>
      </c>
      <c r="J136" s="8"/>
      <c r="K136" s="8"/>
      <c r="L136" s="8"/>
      <c r="M136" s="8" t="s">
        <v>686</v>
      </c>
      <c r="N136" s="8"/>
      <c r="O136" s="8" t="s">
        <v>687</v>
      </c>
    </row>
    <row r="137" spans="1:15" ht="12.75">
      <c r="A137" s="8" t="s">
        <v>386</v>
      </c>
      <c r="B137" s="9">
        <v>45397</v>
      </c>
      <c r="C137" s="8" t="s">
        <v>688</v>
      </c>
      <c r="D137" s="8" t="s">
        <v>33</v>
      </c>
      <c r="E137" s="8"/>
      <c r="F137" s="15">
        <v>45514</v>
      </c>
      <c r="G137" s="8">
        <v>5</v>
      </c>
      <c r="H137" s="8">
        <v>4</v>
      </c>
      <c r="I137" s="8">
        <v>5</v>
      </c>
      <c r="J137" s="8"/>
      <c r="K137" s="8">
        <v>4</v>
      </c>
      <c r="L137" s="8">
        <v>4</v>
      </c>
      <c r="M137" s="8" t="s">
        <v>689</v>
      </c>
      <c r="N137" s="8" t="s">
        <v>690</v>
      </c>
      <c r="O137" s="8"/>
    </row>
    <row r="138" spans="1:15" ht="12.75">
      <c r="A138" s="8" t="s">
        <v>386</v>
      </c>
      <c r="B138" s="9">
        <v>45397</v>
      </c>
      <c r="C138" s="8" t="s">
        <v>691</v>
      </c>
      <c r="D138" s="8"/>
      <c r="E138" s="8"/>
      <c r="F138" s="15">
        <v>45332</v>
      </c>
      <c r="G138" s="8">
        <v>1</v>
      </c>
      <c r="H138" s="8">
        <v>1</v>
      </c>
      <c r="I138" s="8"/>
      <c r="J138" s="8"/>
      <c r="K138" s="8"/>
      <c r="L138" s="8"/>
      <c r="M138" s="8"/>
      <c r="N138" s="8" t="s">
        <v>692</v>
      </c>
      <c r="O138" s="8"/>
    </row>
    <row r="139" spans="1:15" ht="12.75">
      <c r="A139" s="8" t="s">
        <v>386</v>
      </c>
      <c r="B139" s="9">
        <v>45397</v>
      </c>
      <c r="C139" s="8" t="s">
        <v>693</v>
      </c>
      <c r="D139" s="8"/>
      <c r="E139" s="8"/>
      <c r="F139" s="15">
        <v>45361</v>
      </c>
      <c r="G139" s="8">
        <v>2</v>
      </c>
      <c r="H139" s="8"/>
      <c r="I139" s="8">
        <v>5</v>
      </c>
      <c r="J139" s="8"/>
      <c r="K139" s="8"/>
      <c r="L139" s="8"/>
      <c r="M139" s="8" t="s">
        <v>694</v>
      </c>
      <c r="N139" s="8" t="s">
        <v>695</v>
      </c>
      <c r="O139" s="8" t="s">
        <v>696</v>
      </c>
    </row>
    <row r="140" spans="1:15" ht="12.75">
      <c r="A140" s="8" t="s">
        <v>386</v>
      </c>
      <c r="B140" s="9">
        <v>45397</v>
      </c>
      <c r="C140" s="8" t="s">
        <v>697</v>
      </c>
      <c r="D140" s="8"/>
      <c r="E140" s="8"/>
      <c r="F140" s="15">
        <v>45332</v>
      </c>
      <c r="G140" s="8">
        <v>1</v>
      </c>
      <c r="H140" s="8">
        <v>1</v>
      </c>
      <c r="I140" s="8">
        <v>1</v>
      </c>
      <c r="J140" s="8"/>
      <c r="K140" s="8"/>
      <c r="L140" s="8"/>
      <c r="M140" s="8"/>
      <c r="N140" s="8" t="s">
        <v>698</v>
      </c>
      <c r="O140" s="8"/>
    </row>
    <row r="141" spans="1:15" ht="12.75">
      <c r="A141" s="8" t="s">
        <v>386</v>
      </c>
      <c r="B141" s="9">
        <v>45397</v>
      </c>
      <c r="C141" s="8" t="s">
        <v>699</v>
      </c>
      <c r="D141" s="8"/>
      <c r="E141" s="8"/>
      <c r="F141" s="15">
        <v>45332</v>
      </c>
      <c r="G141" s="8">
        <v>1</v>
      </c>
      <c r="H141" s="8">
        <v>1</v>
      </c>
      <c r="I141" s="8">
        <v>5</v>
      </c>
      <c r="J141" s="8"/>
      <c r="K141" s="8"/>
      <c r="L141" s="8"/>
      <c r="M141" s="8"/>
      <c r="N141" s="8" t="s">
        <v>700</v>
      </c>
      <c r="O141" s="8"/>
    </row>
    <row r="142" spans="1:15" ht="12.75">
      <c r="A142" s="8" t="s">
        <v>386</v>
      </c>
      <c r="B142" s="9">
        <v>45397</v>
      </c>
      <c r="C142" s="8" t="s">
        <v>701</v>
      </c>
      <c r="D142" s="8"/>
      <c r="E142" s="8"/>
      <c r="F142" s="15">
        <v>45545</v>
      </c>
      <c r="G142" s="8">
        <v>4</v>
      </c>
      <c r="H142" s="8">
        <v>5</v>
      </c>
      <c r="I142" s="8">
        <v>5</v>
      </c>
      <c r="J142" s="8"/>
      <c r="K142" s="8"/>
      <c r="L142" s="8"/>
      <c r="M142" s="8" t="s">
        <v>702</v>
      </c>
      <c r="N142" s="8"/>
      <c r="O142" s="8"/>
    </row>
  </sheetData>
  <pageMargins left="0.7" right="0.7" top="0.75" bottom="0.75" header="0.3" footer="0.3"/>
  <headerFooter>
    <oddFooter>&amp;L_x000D_&amp;1#&amp;"Aptos"&amp;10&amp;K000000 Public</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S133"/>
  <sheetViews>
    <sheetView workbookViewId="0"/>
  </sheetViews>
  <sheetFormatPr defaultColWidth="12.5703125" defaultRowHeight="15.75" customHeight="1"/>
  <cols>
    <col min="1" max="1" width="14" customWidth="1"/>
    <col min="2" max="2" width="21.5703125" customWidth="1"/>
    <col min="4" max="4" width="17.140625" customWidth="1"/>
    <col min="9" max="9" width="16.7109375" customWidth="1"/>
    <col min="12" max="12" width="16.5703125" customWidth="1"/>
    <col min="17" max="17" width="16.5703125" customWidth="1"/>
  </cols>
  <sheetData>
    <row r="1" spans="1:9" ht="30" customHeight="1">
      <c r="A1" s="16" t="s">
        <v>5</v>
      </c>
      <c r="B1" s="17" t="s">
        <v>7</v>
      </c>
      <c r="C1" s="17" t="s">
        <v>393</v>
      </c>
      <c r="D1" s="17" t="s">
        <v>394</v>
      </c>
      <c r="E1" s="17" t="s">
        <v>395</v>
      </c>
      <c r="F1" s="17" t="s">
        <v>396</v>
      </c>
      <c r="G1" s="17" t="s">
        <v>397</v>
      </c>
      <c r="H1" s="17" t="s">
        <v>398</v>
      </c>
      <c r="I1" s="18" t="s">
        <v>399</v>
      </c>
    </row>
    <row r="2" spans="1:9" ht="12.75">
      <c r="A2" s="8"/>
      <c r="B2" s="20" t="s">
        <v>400</v>
      </c>
      <c r="C2" s="8">
        <f t="shared" ref="C2:I2" si="0">SUM(C3:C112)</f>
        <v>16</v>
      </c>
      <c r="D2" s="8">
        <f t="shared" si="0"/>
        <v>12</v>
      </c>
      <c r="E2" s="8">
        <f t="shared" si="0"/>
        <v>2</v>
      </c>
      <c r="F2" s="8">
        <f t="shared" si="0"/>
        <v>27</v>
      </c>
      <c r="G2" s="8">
        <f t="shared" si="0"/>
        <v>8</v>
      </c>
      <c r="H2" s="8">
        <f t="shared" si="0"/>
        <v>0</v>
      </c>
      <c r="I2" s="8">
        <f t="shared" si="0"/>
        <v>36</v>
      </c>
    </row>
    <row r="3" spans="1:9" ht="12.75">
      <c r="A3" s="8" t="s">
        <v>405</v>
      </c>
      <c r="B3" s="8">
        <v>4744120909</v>
      </c>
    </row>
    <row r="4" spans="1:9" ht="12.75">
      <c r="A4" s="8" t="s">
        <v>408</v>
      </c>
      <c r="B4" s="8">
        <v>4002379927</v>
      </c>
      <c r="D4" s="8">
        <v>1</v>
      </c>
      <c r="F4" s="8">
        <v>1</v>
      </c>
      <c r="I4" s="8">
        <v>1</v>
      </c>
    </row>
    <row r="5" spans="1:9" ht="12.75">
      <c r="A5" s="8" t="s">
        <v>409</v>
      </c>
      <c r="B5" s="8">
        <v>4649705719</v>
      </c>
      <c r="I5" s="8">
        <v>1</v>
      </c>
    </row>
    <row r="6" spans="1:9" ht="12.75">
      <c r="A6" s="8" t="s">
        <v>411</v>
      </c>
      <c r="B6" s="8">
        <v>4151768567</v>
      </c>
      <c r="C6" s="8">
        <v>1</v>
      </c>
      <c r="F6" s="8">
        <v>1</v>
      </c>
      <c r="G6" s="8">
        <v>1</v>
      </c>
      <c r="I6" s="8">
        <v>1</v>
      </c>
    </row>
    <row r="7" spans="1:9" ht="12.75">
      <c r="A7" s="8" t="s">
        <v>414</v>
      </c>
      <c r="B7" s="8">
        <v>4242195490</v>
      </c>
    </row>
    <row r="8" spans="1:9" ht="12.75">
      <c r="A8" s="8" t="s">
        <v>415</v>
      </c>
      <c r="B8" s="8">
        <v>4147114239</v>
      </c>
      <c r="C8" s="8">
        <v>1</v>
      </c>
      <c r="I8" s="8">
        <v>1</v>
      </c>
    </row>
    <row r="9" spans="1:9" ht="12.75">
      <c r="A9" s="8" t="s">
        <v>418</v>
      </c>
      <c r="B9" s="8">
        <v>4017690908</v>
      </c>
      <c r="I9" s="8">
        <v>1</v>
      </c>
    </row>
    <row r="10" spans="1:9" ht="12.75">
      <c r="A10" s="8" t="s">
        <v>421</v>
      </c>
      <c r="B10" s="8">
        <v>4146859303</v>
      </c>
    </row>
    <row r="11" spans="1:9" ht="12.75">
      <c r="A11" s="8" t="s">
        <v>135</v>
      </c>
      <c r="B11" s="8">
        <v>4497057056</v>
      </c>
    </row>
    <row r="12" spans="1:9" ht="12.75">
      <c r="A12" s="8" t="s">
        <v>175</v>
      </c>
      <c r="B12" s="8">
        <v>4157142991</v>
      </c>
      <c r="G12" s="8">
        <v>1</v>
      </c>
    </row>
    <row r="13" spans="1:9" ht="12.75">
      <c r="A13" s="8" t="s">
        <v>426</v>
      </c>
      <c r="B13" s="8">
        <v>4040345127</v>
      </c>
    </row>
    <row r="14" spans="1:9" ht="12.75">
      <c r="A14" s="8" t="s">
        <v>429</v>
      </c>
      <c r="B14" s="8">
        <v>4761092123</v>
      </c>
    </row>
    <row r="15" spans="1:9" ht="12.75">
      <c r="A15" s="8" t="s">
        <v>430</v>
      </c>
      <c r="B15" s="8">
        <v>4277842986</v>
      </c>
    </row>
    <row r="16" spans="1:9" ht="12.75">
      <c r="A16" s="8" t="s">
        <v>432</v>
      </c>
      <c r="B16" s="8">
        <v>4200113587</v>
      </c>
    </row>
    <row r="17" spans="1:18" ht="12.75">
      <c r="A17" s="8" t="s">
        <v>434</v>
      </c>
      <c r="B17" s="8">
        <v>4418277463</v>
      </c>
    </row>
    <row r="18" spans="1:18" ht="12.75">
      <c r="A18" s="8" t="s">
        <v>435</v>
      </c>
      <c r="B18" s="8">
        <v>4263577406</v>
      </c>
    </row>
    <row r="19" spans="1:18" ht="12.75">
      <c r="A19" s="8" t="s">
        <v>437</v>
      </c>
      <c r="B19" s="8">
        <v>4219204745</v>
      </c>
    </row>
    <row r="20" spans="1:18" ht="12.75">
      <c r="A20" s="8" t="s">
        <v>438</v>
      </c>
      <c r="B20" s="8">
        <v>4098087430</v>
      </c>
      <c r="I20" s="8">
        <v>1</v>
      </c>
    </row>
    <row r="21" spans="1:18" ht="12.75">
      <c r="A21" s="8" t="s">
        <v>440</v>
      </c>
      <c r="B21" s="8">
        <v>4081834443</v>
      </c>
      <c r="I21" s="8">
        <v>1</v>
      </c>
    </row>
    <row r="22" spans="1:18" ht="12.75">
      <c r="A22" s="8" t="s">
        <v>443</v>
      </c>
      <c r="B22" s="8">
        <v>4155218169</v>
      </c>
    </row>
    <row r="23" spans="1:18" ht="12.75">
      <c r="A23" s="8" t="s">
        <v>446</v>
      </c>
      <c r="B23" s="8">
        <v>4061587927</v>
      </c>
      <c r="C23" s="8">
        <v>1</v>
      </c>
      <c r="F23" s="8">
        <v>1</v>
      </c>
      <c r="K23" s="72" t="s">
        <v>703</v>
      </c>
      <c r="L23" s="73"/>
      <c r="M23" s="73"/>
      <c r="N23" s="73"/>
      <c r="O23" s="73"/>
      <c r="P23" s="73"/>
      <c r="Q23" s="74"/>
    </row>
    <row r="24" spans="1:18" ht="12.75">
      <c r="A24" s="8" t="s">
        <v>448</v>
      </c>
      <c r="B24" s="8">
        <v>4294425824</v>
      </c>
      <c r="K24" s="75"/>
      <c r="L24" s="76"/>
      <c r="M24" s="76"/>
      <c r="N24" s="76"/>
      <c r="O24" s="76"/>
      <c r="P24" s="76"/>
      <c r="Q24" s="77"/>
    </row>
    <row r="25" spans="1:18" ht="15">
      <c r="A25" s="8" t="s">
        <v>450</v>
      </c>
      <c r="B25" s="8">
        <v>4783360728</v>
      </c>
      <c r="I25" s="8">
        <v>1</v>
      </c>
      <c r="K25" s="28" t="s">
        <v>393</v>
      </c>
      <c r="L25" s="29" t="s">
        <v>394</v>
      </c>
      <c r="M25" s="29" t="s">
        <v>395</v>
      </c>
      <c r="N25" s="29" t="s">
        <v>396</v>
      </c>
      <c r="O25" s="29" t="s">
        <v>397</v>
      </c>
      <c r="P25" s="29" t="s">
        <v>398</v>
      </c>
      <c r="Q25" s="30" t="s">
        <v>399</v>
      </c>
    </row>
    <row r="26" spans="1:18" ht="12.75">
      <c r="A26" s="8" t="s">
        <v>453</v>
      </c>
      <c r="B26" s="8">
        <v>4072199668</v>
      </c>
      <c r="I26" s="8">
        <v>1</v>
      </c>
      <c r="K26" s="31">
        <v>5</v>
      </c>
      <c r="L26" s="32">
        <v>2</v>
      </c>
      <c r="M26" s="32">
        <v>1</v>
      </c>
      <c r="N26" s="32">
        <v>44</v>
      </c>
      <c r="O26" s="32">
        <v>17</v>
      </c>
      <c r="P26" s="32">
        <v>0</v>
      </c>
      <c r="Q26" s="33">
        <v>38</v>
      </c>
      <c r="R26" s="8">
        <f t="shared" ref="R26:R27" si="1">SUM(K26:Q26)</f>
        <v>107</v>
      </c>
    </row>
    <row r="27" spans="1:18" ht="12.75">
      <c r="A27" s="8" t="s">
        <v>454</v>
      </c>
      <c r="B27" s="8">
        <v>4193339153</v>
      </c>
      <c r="K27" s="34">
        <v>16</v>
      </c>
      <c r="L27" s="35">
        <v>12</v>
      </c>
      <c r="M27" s="35">
        <v>2</v>
      </c>
      <c r="N27" s="35">
        <v>27</v>
      </c>
      <c r="O27" s="35">
        <v>8</v>
      </c>
      <c r="P27" s="35">
        <v>0</v>
      </c>
      <c r="Q27" s="36">
        <v>36</v>
      </c>
      <c r="R27" s="8">
        <f t="shared" si="1"/>
        <v>101</v>
      </c>
    </row>
    <row r="28" spans="1:18" ht="12.75">
      <c r="A28" s="8" t="s">
        <v>180</v>
      </c>
      <c r="B28" s="8">
        <v>4235835514</v>
      </c>
      <c r="I28" s="8">
        <v>1</v>
      </c>
    </row>
    <row r="29" spans="1:18" ht="12.75">
      <c r="A29" s="8" t="s">
        <v>457</v>
      </c>
      <c r="B29" s="8">
        <v>4750936830</v>
      </c>
      <c r="I29" s="8">
        <v>1</v>
      </c>
    </row>
    <row r="30" spans="1:18" ht="12.75">
      <c r="A30" s="8" t="s">
        <v>458</v>
      </c>
      <c r="B30" s="8">
        <v>4156758763</v>
      </c>
      <c r="I30" s="8">
        <v>1</v>
      </c>
    </row>
    <row r="31" spans="1:18" ht="12.75">
      <c r="A31" s="8" t="s">
        <v>459</v>
      </c>
      <c r="B31" s="8">
        <v>4014786468</v>
      </c>
      <c r="I31" s="8">
        <v>1</v>
      </c>
    </row>
    <row r="32" spans="1:18" ht="12.75">
      <c r="A32" s="8" t="s">
        <v>460</v>
      </c>
      <c r="B32" s="8">
        <v>4597743796</v>
      </c>
      <c r="C32" s="8">
        <v>1</v>
      </c>
      <c r="D32" s="8">
        <v>1</v>
      </c>
      <c r="F32" s="8">
        <v>1</v>
      </c>
    </row>
    <row r="33" spans="1:19" ht="12.75">
      <c r="A33" s="8" t="s">
        <v>464</v>
      </c>
      <c r="B33" s="8">
        <v>4637219562</v>
      </c>
      <c r="G33" s="8">
        <v>1</v>
      </c>
    </row>
    <row r="34" spans="1:19" ht="12.75">
      <c r="A34" s="8" t="s">
        <v>468</v>
      </c>
      <c r="B34" s="8">
        <v>4148076317</v>
      </c>
      <c r="I34" s="8">
        <v>1</v>
      </c>
    </row>
    <row r="35" spans="1:19" ht="12.75">
      <c r="A35" s="8" t="s">
        <v>473</v>
      </c>
      <c r="B35" s="8">
        <v>4150145368</v>
      </c>
      <c r="C35" s="8">
        <v>1</v>
      </c>
      <c r="I35" s="8">
        <v>1</v>
      </c>
    </row>
    <row r="36" spans="1:19" ht="12.75">
      <c r="A36" s="8" t="s">
        <v>477</v>
      </c>
      <c r="B36" s="8">
        <v>4775521024</v>
      </c>
    </row>
    <row r="37" spans="1:19" ht="12.75">
      <c r="A37" s="8" t="s">
        <v>478</v>
      </c>
      <c r="B37" s="8">
        <v>4021259259</v>
      </c>
    </row>
    <row r="38" spans="1:19" ht="12.75">
      <c r="A38" s="8" t="s">
        <v>479</v>
      </c>
      <c r="B38" s="8">
        <v>4026635617</v>
      </c>
    </row>
    <row r="39" spans="1:19" ht="12.75">
      <c r="A39" s="8" t="s">
        <v>480</v>
      </c>
      <c r="B39" s="8">
        <v>4310915331</v>
      </c>
      <c r="F39" s="8">
        <v>1</v>
      </c>
    </row>
    <row r="40" spans="1:19" ht="12.75">
      <c r="A40" s="8" t="s">
        <v>484</v>
      </c>
      <c r="B40" s="8">
        <v>4388838732</v>
      </c>
      <c r="I40" s="8">
        <v>1</v>
      </c>
    </row>
    <row r="41" spans="1:19" ht="12.75">
      <c r="A41" s="8" t="s">
        <v>488</v>
      </c>
      <c r="B41" s="8">
        <v>4259632120</v>
      </c>
    </row>
    <row r="42" spans="1:19" ht="12.75">
      <c r="A42" s="8" t="s">
        <v>489</v>
      </c>
      <c r="B42" s="8">
        <v>4479265818</v>
      </c>
    </row>
    <row r="43" spans="1:19" ht="12.75">
      <c r="A43" s="8" t="s">
        <v>490</v>
      </c>
      <c r="B43" s="8">
        <v>4755093075</v>
      </c>
    </row>
    <row r="44" spans="1:19" ht="12.75">
      <c r="A44" s="8" t="s">
        <v>491</v>
      </c>
      <c r="B44" s="8">
        <v>4291275702</v>
      </c>
      <c r="I44" s="8">
        <v>1</v>
      </c>
    </row>
    <row r="45" spans="1:19" ht="12.75">
      <c r="A45" s="8" t="s">
        <v>158</v>
      </c>
      <c r="B45" s="8">
        <v>4214612665</v>
      </c>
      <c r="C45" s="8">
        <v>1</v>
      </c>
      <c r="F45" s="8">
        <v>1</v>
      </c>
      <c r="I45" s="8">
        <v>1</v>
      </c>
    </row>
    <row r="46" spans="1:19" ht="12.75">
      <c r="A46" s="8" t="s">
        <v>497</v>
      </c>
      <c r="B46" s="8">
        <v>4011898145</v>
      </c>
      <c r="K46" s="78" t="s">
        <v>704</v>
      </c>
      <c r="L46" s="73"/>
      <c r="M46" s="73"/>
      <c r="N46" s="73"/>
      <c r="O46" s="73"/>
      <c r="P46" s="73"/>
      <c r="Q46" s="73"/>
      <c r="R46" s="73"/>
      <c r="S46" s="74"/>
    </row>
    <row r="47" spans="1:19" ht="12.75">
      <c r="A47" s="8" t="s">
        <v>498</v>
      </c>
      <c r="B47" s="8">
        <v>4132036827</v>
      </c>
      <c r="K47" s="79"/>
      <c r="L47" s="71"/>
      <c r="M47" s="71"/>
      <c r="N47" s="71"/>
      <c r="O47" s="71"/>
      <c r="P47" s="71"/>
      <c r="Q47" s="71"/>
      <c r="R47" s="71"/>
      <c r="S47" s="80"/>
    </row>
    <row r="48" spans="1:19" ht="12.75">
      <c r="A48" s="8" t="s">
        <v>502</v>
      </c>
      <c r="B48" s="8">
        <v>4746635644</v>
      </c>
      <c r="F48" s="8">
        <v>1</v>
      </c>
      <c r="I48" s="8">
        <v>1</v>
      </c>
      <c r="K48" s="79"/>
      <c r="L48" s="71"/>
      <c r="M48" s="71"/>
      <c r="N48" s="71"/>
      <c r="O48" s="71"/>
      <c r="P48" s="71"/>
      <c r="Q48" s="71"/>
      <c r="R48" s="71"/>
      <c r="S48" s="80"/>
    </row>
    <row r="49" spans="1:19" ht="12.75">
      <c r="A49" s="8" t="s">
        <v>505</v>
      </c>
      <c r="B49" s="8">
        <v>4036660149</v>
      </c>
      <c r="K49" s="79"/>
      <c r="L49" s="71"/>
      <c r="M49" s="71"/>
      <c r="N49" s="71"/>
      <c r="O49" s="71"/>
      <c r="P49" s="71"/>
      <c r="Q49" s="71"/>
      <c r="R49" s="71"/>
      <c r="S49" s="80"/>
    </row>
    <row r="50" spans="1:19" ht="12.75">
      <c r="A50" s="8" t="s">
        <v>506</v>
      </c>
      <c r="B50" s="8">
        <v>4250220827</v>
      </c>
      <c r="I50" s="8">
        <v>1</v>
      </c>
      <c r="K50" s="79"/>
      <c r="L50" s="71"/>
      <c r="M50" s="71"/>
      <c r="N50" s="71"/>
      <c r="O50" s="71"/>
      <c r="P50" s="71"/>
      <c r="Q50" s="71"/>
      <c r="R50" s="71"/>
      <c r="S50" s="80"/>
    </row>
    <row r="51" spans="1:19" ht="12.75">
      <c r="A51" s="8" t="s">
        <v>507</v>
      </c>
      <c r="B51" s="8">
        <v>4002304916</v>
      </c>
      <c r="F51" s="8">
        <v>1</v>
      </c>
      <c r="I51" s="8">
        <v>1</v>
      </c>
      <c r="K51" s="79"/>
      <c r="L51" s="71"/>
      <c r="M51" s="71"/>
      <c r="N51" s="71"/>
      <c r="O51" s="71"/>
      <c r="P51" s="71"/>
      <c r="Q51" s="71"/>
      <c r="R51" s="71"/>
      <c r="S51" s="80"/>
    </row>
    <row r="52" spans="1:19" ht="12.75">
      <c r="A52" s="8" t="s">
        <v>511</v>
      </c>
      <c r="B52" s="8">
        <v>4218531236</v>
      </c>
      <c r="G52" s="8">
        <v>1</v>
      </c>
      <c r="K52" s="79"/>
      <c r="L52" s="71"/>
      <c r="M52" s="71"/>
      <c r="N52" s="71"/>
      <c r="O52" s="71"/>
      <c r="P52" s="71"/>
      <c r="Q52" s="71"/>
      <c r="R52" s="71"/>
      <c r="S52" s="80"/>
    </row>
    <row r="53" spans="1:19" ht="12.75">
      <c r="A53" s="8" t="s">
        <v>515</v>
      </c>
      <c r="B53" s="8">
        <v>4160746940</v>
      </c>
      <c r="C53" s="8">
        <v>1</v>
      </c>
      <c r="D53" s="8">
        <v>1</v>
      </c>
      <c r="F53" s="8">
        <v>1</v>
      </c>
      <c r="I53" s="8">
        <v>1</v>
      </c>
      <c r="K53" s="79"/>
      <c r="L53" s="71"/>
      <c r="M53" s="71"/>
      <c r="N53" s="71"/>
      <c r="O53" s="71"/>
      <c r="P53" s="71"/>
      <c r="Q53" s="71"/>
      <c r="R53" s="71"/>
      <c r="S53" s="80"/>
    </row>
    <row r="54" spans="1:19" ht="12.75">
      <c r="A54" s="8" t="s">
        <v>516</v>
      </c>
      <c r="B54" s="8">
        <v>4006214386</v>
      </c>
      <c r="C54" s="8">
        <v>1</v>
      </c>
      <c r="D54" s="8">
        <v>1</v>
      </c>
      <c r="F54" s="8">
        <v>1</v>
      </c>
      <c r="I54" s="8">
        <v>1</v>
      </c>
      <c r="K54" s="79"/>
      <c r="L54" s="71"/>
      <c r="M54" s="71"/>
      <c r="N54" s="71"/>
      <c r="O54" s="71"/>
      <c r="P54" s="71"/>
      <c r="Q54" s="71"/>
      <c r="R54" s="71"/>
      <c r="S54" s="80"/>
    </row>
    <row r="55" spans="1:19" ht="12.75">
      <c r="A55" s="8" t="s">
        <v>517</v>
      </c>
      <c r="B55" s="8">
        <v>4246465661</v>
      </c>
      <c r="I55" s="8">
        <v>1</v>
      </c>
      <c r="K55" s="79"/>
      <c r="L55" s="71"/>
      <c r="M55" s="71"/>
      <c r="N55" s="71"/>
      <c r="O55" s="71"/>
      <c r="P55" s="71"/>
      <c r="Q55" s="71"/>
      <c r="R55" s="71"/>
      <c r="S55" s="80"/>
    </row>
    <row r="56" spans="1:19" ht="12.75">
      <c r="A56" s="8" t="s">
        <v>322</v>
      </c>
      <c r="B56" s="8">
        <v>4222757396</v>
      </c>
      <c r="C56" s="8">
        <v>1</v>
      </c>
      <c r="D56" s="8">
        <v>1</v>
      </c>
      <c r="F56" s="8">
        <v>1</v>
      </c>
      <c r="I56" s="8">
        <v>1</v>
      </c>
      <c r="K56" s="79"/>
      <c r="L56" s="71"/>
      <c r="M56" s="71"/>
      <c r="N56" s="71"/>
      <c r="O56" s="71"/>
      <c r="P56" s="71"/>
      <c r="Q56" s="71"/>
      <c r="R56" s="71"/>
      <c r="S56" s="80"/>
    </row>
    <row r="57" spans="1:19" ht="12.75">
      <c r="A57" s="8" t="s">
        <v>520</v>
      </c>
      <c r="B57" s="8">
        <v>4226184832</v>
      </c>
      <c r="I57" s="8">
        <v>1</v>
      </c>
      <c r="K57" s="79"/>
      <c r="L57" s="71"/>
      <c r="M57" s="71"/>
      <c r="N57" s="71"/>
      <c r="O57" s="71"/>
      <c r="P57" s="71"/>
      <c r="Q57" s="71"/>
      <c r="R57" s="71"/>
      <c r="S57" s="80"/>
    </row>
    <row r="58" spans="1:19" ht="12.75">
      <c r="A58" s="8" t="s">
        <v>521</v>
      </c>
      <c r="B58" s="8">
        <v>4293208090</v>
      </c>
      <c r="I58" s="8">
        <v>1</v>
      </c>
      <c r="K58" s="79"/>
      <c r="L58" s="71"/>
      <c r="M58" s="71"/>
      <c r="N58" s="71"/>
      <c r="O58" s="71"/>
      <c r="P58" s="71"/>
      <c r="Q58" s="71"/>
      <c r="R58" s="71"/>
      <c r="S58" s="80"/>
    </row>
    <row r="59" spans="1:19" ht="12.75">
      <c r="A59" s="8" t="s">
        <v>522</v>
      </c>
      <c r="B59" s="8">
        <v>4860573350</v>
      </c>
      <c r="F59" s="8">
        <v>1</v>
      </c>
      <c r="K59" s="79"/>
      <c r="L59" s="71"/>
      <c r="M59" s="71"/>
      <c r="N59" s="71"/>
      <c r="O59" s="71"/>
      <c r="P59" s="71"/>
      <c r="Q59" s="71"/>
      <c r="R59" s="71"/>
      <c r="S59" s="80"/>
    </row>
    <row r="60" spans="1:19" ht="12.75">
      <c r="A60" s="8" t="s">
        <v>525</v>
      </c>
      <c r="B60" s="8">
        <v>4092353475</v>
      </c>
      <c r="I60" s="8">
        <v>1</v>
      </c>
      <c r="K60" s="79"/>
      <c r="L60" s="71"/>
      <c r="M60" s="71"/>
      <c r="N60" s="71"/>
      <c r="O60" s="71"/>
      <c r="P60" s="71"/>
      <c r="Q60" s="71"/>
      <c r="R60" s="71"/>
      <c r="S60" s="80"/>
    </row>
    <row r="61" spans="1:19" ht="12.75">
      <c r="A61" s="8" t="s">
        <v>528</v>
      </c>
      <c r="B61" s="8">
        <v>4201122246</v>
      </c>
      <c r="C61" s="8">
        <v>1</v>
      </c>
      <c r="D61" s="8">
        <v>1</v>
      </c>
      <c r="E61" s="8">
        <v>1</v>
      </c>
      <c r="F61" s="8">
        <v>1</v>
      </c>
      <c r="G61" s="8">
        <v>1</v>
      </c>
      <c r="I61" s="8">
        <v>1</v>
      </c>
      <c r="K61" s="81"/>
      <c r="L61" s="82"/>
      <c r="M61" s="82"/>
      <c r="N61" s="82"/>
      <c r="O61" s="82"/>
      <c r="P61" s="82"/>
      <c r="Q61" s="82"/>
      <c r="R61" s="82"/>
      <c r="S61" s="83"/>
    </row>
    <row r="62" spans="1:19" ht="12.75">
      <c r="A62" s="8" t="s">
        <v>531</v>
      </c>
      <c r="B62" s="8">
        <v>4136476790</v>
      </c>
      <c r="G62" s="8">
        <v>1</v>
      </c>
    </row>
    <row r="63" spans="1:19" ht="12.75">
      <c r="A63" s="8" t="s">
        <v>534</v>
      </c>
      <c r="B63" s="8">
        <v>4102224897</v>
      </c>
    </row>
    <row r="64" spans="1:19" ht="12.75">
      <c r="A64" s="8" t="s">
        <v>536</v>
      </c>
      <c r="B64" s="8">
        <v>4192054197</v>
      </c>
    </row>
    <row r="65" spans="1:9" ht="12.75">
      <c r="A65" s="8" t="s">
        <v>266</v>
      </c>
      <c r="B65" s="8">
        <v>4804852223</v>
      </c>
      <c r="F65" s="8">
        <v>1</v>
      </c>
    </row>
    <row r="66" spans="1:9" ht="12.75">
      <c r="A66" s="8" t="s">
        <v>539</v>
      </c>
      <c r="B66" s="8">
        <v>4156172518</v>
      </c>
    </row>
    <row r="67" spans="1:9" ht="12.75">
      <c r="A67" s="8" t="s">
        <v>540</v>
      </c>
      <c r="B67" s="8">
        <v>4436900474</v>
      </c>
      <c r="C67" s="8">
        <v>1</v>
      </c>
      <c r="D67" s="8">
        <v>1</v>
      </c>
      <c r="F67" s="8">
        <v>1</v>
      </c>
      <c r="I67" s="8">
        <v>1</v>
      </c>
    </row>
    <row r="68" spans="1:9" ht="12.75">
      <c r="A68" s="8" t="s">
        <v>541</v>
      </c>
      <c r="B68" s="8">
        <v>4808629652</v>
      </c>
      <c r="F68" s="8">
        <v>1</v>
      </c>
    </row>
    <row r="69" spans="1:9" ht="12.75">
      <c r="A69" s="8" t="s">
        <v>544</v>
      </c>
      <c r="B69" s="8">
        <v>4136763337</v>
      </c>
    </row>
    <row r="70" spans="1:9" ht="12.75">
      <c r="A70" s="8" t="s">
        <v>545</v>
      </c>
      <c r="B70" s="8">
        <v>4197529655</v>
      </c>
    </row>
    <row r="71" spans="1:9" ht="12.75">
      <c r="A71" s="8" t="s">
        <v>521</v>
      </c>
      <c r="B71" s="8">
        <v>4428569955</v>
      </c>
      <c r="C71" s="8">
        <v>1</v>
      </c>
      <c r="D71" s="8">
        <v>1</v>
      </c>
      <c r="F71" s="8">
        <v>1</v>
      </c>
      <c r="G71" s="8">
        <v>1</v>
      </c>
    </row>
    <row r="72" spans="1:9" ht="12.75">
      <c r="A72" s="8" t="s">
        <v>548</v>
      </c>
      <c r="B72" s="8">
        <v>4749555498</v>
      </c>
    </row>
    <row r="73" spans="1:9" ht="12.75">
      <c r="A73" s="8" t="s">
        <v>549</v>
      </c>
      <c r="B73" s="8">
        <v>4132054639</v>
      </c>
    </row>
    <row r="74" spans="1:9" ht="12.75">
      <c r="A74" s="8" t="s">
        <v>550</v>
      </c>
      <c r="B74" s="8">
        <v>4521670492</v>
      </c>
      <c r="F74" s="8">
        <v>1</v>
      </c>
    </row>
    <row r="75" spans="1:9" ht="12.75">
      <c r="A75" s="8" t="s">
        <v>553</v>
      </c>
      <c r="B75" s="8">
        <v>4002518080</v>
      </c>
    </row>
    <row r="76" spans="1:9" ht="12.75">
      <c r="A76" s="8" t="s">
        <v>556</v>
      </c>
      <c r="B76" s="8">
        <v>4257090017</v>
      </c>
    </row>
    <row r="77" spans="1:9" ht="12.75">
      <c r="A77" s="8" t="s">
        <v>557</v>
      </c>
      <c r="B77" s="8">
        <v>4979857055</v>
      </c>
    </row>
    <row r="78" spans="1:9" ht="12.75">
      <c r="A78" s="8" t="s">
        <v>560</v>
      </c>
      <c r="B78" s="8">
        <v>4058922506</v>
      </c>
    </row>
    <row r="79" spans="1:9" ht="12.75">
      <c r="A79" s="8" t="s">
        <v>563</v>
      </c>
      <c r="B79" s="8">
        <v>4525634015</v>
      </c>
    </row>
    <row r="80" spans="1:9" ht="12.75">
      <c r="A80" s="8" t="s">
        <v>564</v>
      </c>
      <c r="B80" s="8">
        <v>4749010155</v>
      </c>
      <c r="F80" s="8">
        <v>1</v>
      </c>
    </row>
    <row r="81" spans="1:7" ht="12.75">
      <c r="A81" s="8" t="s">
        <v>566</v>
      </c>
      <c r="B81" s="8">
        <v>4696240703</v>
      </c>
    </row>
    <row r="82" spans="1:7" ht="12.75">
      <c r="A82" s="8" t="s">
        <v>569</v>
      </c>
      <c r="B82" s="8">
        <v>4139579680</v>
      </c>
    </row>
    <row r="83" spans="1:7" ht="12.75">
      <c r="A83" s="8" t="s">
        <v>570</v>
      </c>
      <c r="B83" s="8">
        <v>4906469441</v>
      </c>
    </row>
    <row r="84" spans="1:7" ht="12.75">
      <c r="A84" s="8" t="s">
        <v>572</v>
      </c>
      <c r="B84" s="8">
        <v>4811622599</v>
      </c>
    </row>
    <row r="85" spans="1:7" ht="12.75">
      <c r="A85" s="8" t="s">
        <v>573</v>
      </c>
      <c r="B85" s="8">
        <v>4521689556</v>
      </c>
    </row>
    <row r="86" spans="1:7" ht="12.75">
      <c r="A86" s="8" t="s">
        <v>574</v>
      </c>
      <c r="B86" s="8">
        <v>4732145030</v>
      </c>
    </row>
    <row r="87" spans="1:7" ht="12.75">
      <c r="A87" s="8" t="s">
        <v>575</v>
      </c>
      <c r="B87" s="8">
        <v>4637227180</v>
      </c>
    </row>
    <row r="88" spans="1:7" ht="12.75">
      <c r="A88" s="8" t="s">
        <v>576</v>
      </c>
      <c r="B88" s="8">
        <v>4247148747</v>
      </c>
    </row>
    <row r="89" spans="1:7" ht="12.75">
      <c r="A89" s="8" t="s">
        <v>579</v>
      </c>
      <c r="B89" s="8">
        <v>4053989142</v>
      </c>
    </row>
    <row r="90" spans="1:7" ht="12.75">
      <c r="A90" s="8" t="s">
        <v>582</v>
      </c>
      <c r="B90" s="8">
        <v>4030977504</v>
      </c>
      <c r="F90" s="8">
        <v>1</v>
      </c>
    </row>
    <row r="91" spans="1:7" ht="12.75">
      <c r="A91" s="8" t="s">
        <v>585</v>
      </c>
      <c r="B91" s="8">
        <v>4899904020</v>
      </c>
    </row>
    <row r="92" spans="1:7" ht="12.75">
      <c r="A92" s="8" t="s">
        <v>586</v>
      </c>
      <c r="B92" s="8">
        <v>4448294932</v>
      </c>
      <c r="G92" s="8">
        <v>1</v>
      </c>
    </row>
    <row r="93" spans="1:7" ht="12.75">
      <c r="A93" s="8" t="s">
        <v>590</v>
      </c>
      <c r="B93" s="8">
        <v>4730090245</v>
      </c>
    </row>
    <row r="94" spans="1:7" ht="12.75">
      <c r="A94" s="8" t="s">
        <v>591</v>
      </c>
      <c r="B94" s="8">
        <v>4958994866</v>
      </c>
    </row>
    <row r="95" spans="1:7" ht="12.75">
      <c r="A95" s="8" t="s">
        <v>290</v>
      </c>
      <c r="B95" s="8">
        <v>4188110767</v>
      </c>
    </row>
    <row r="96" spans="1:7" ht="12.75">
      <c r="A96" s="8" t="s">
        <v>594</v>
      </c>
      <c r="C96" s="8">
        <v>1</v>
      </c>
      <c r="D96" s="8">
        <v>1</v>
      </c>
      <c r="F96" s="8">
        <v>1</v>
      </c>
    </row>
    <row r="97" spans="1:9" ht="12.75">
      <c r="A97" s="8" t="s">
        <v>597</v>
      </c>
      <c r="B97" s="8">
        <v>4391351827</v>
      </c>
    </row>
    <row r="98" spans="1:9" ht="12.75">
      <c r="A98" s="8" t="s">
        <v>598</v>
      </c>
      <c r="B98" s="8">
        <v>4496860092</v>
      </c>
    </row>
    <row r="99" spans="1:9" ht="12.75">
      <c r="A99" s="8" t="s">
        <v>599</v>
      </c>
      <c r="B99" s="8">
        <v>4409495653</v>
      </c>
    </row>
    <row r="100" spans="1:9" ht="12.75">
      <c r="A100" s="8" t="s">
        <v>446</v>
      </c>
      <c r="B100" s="8">
        <v>4046851890</v>
      </c>
    </row>
    <row r="101" spans="1:9" ht="12.75">
      <c r="A101" s="8" t="s">
        <v>604</v>
      </c>
      <c r="B101" s="8">
        <v>4413840146</v>
      </c>
    </row>
    <row r="102" spans="1:9" ht="12.75">
      <c r="A102" s="8" t="s">
        <v>609</v>
      </c>
      <c r="B102" s="8">
        <v>4967592848</v>
      </c>
      <c r="D102" s="8">
        <v>1</v>
      </c>
      <c r="I102" s="8">
        <v>1</v>
      </c>
    </row>
    <row r="103" spans="1:9" ht="12.75">
      <c r="A103" s="8" t="s">
        <v>611</v>
      </c>
      <c r="B103" s="8">
        <v>4880025407</v>
      </c>
      <c r="C103" s="8">
        <v>1</v>
      </c>
      <c r="F103" s="8">
        <v>1</v>
      </c>
      <c r="I103" s="8">
        <v>1</v>
      </c>
    </row>
    <row r="104" spans="1:9" ht="12.75">
      <c r="A104" s="8" t="s">
        <v>615</v>
      </c>
      <c r="B104" s="8">
        <v>4822536390</v>
      </c>
      <c r="I104" s="8">
        <v>1</v>
      </c>
    </row>
    <row r="105" spans="1:9" ht="12.75">
      <c r="A105" s="8" t="s">
        <v>619</v>
      </c>
      <c r="B105" s="8">
        <v>4291071277</v>
      </c>
      <c r="F105" s="8">
        <v>1</v>
      </c>
      <c r="I105" s="8">
        <v>1</v>
      </c>
    </row>
    <row r="106" spans="1:9" ht="12.75">
      <c r="A106" s="8" t="s">
        <v>622</v>
      </c>
      <c r="B106" s="8">
        <v>4049527109</v>
      </c>
      <c r="F106" s="8">
        <v>1</v>
      </c>
    </row>
    <row r="107" spans="1:9" ht="12.75">
      <c r="A107" s="8" t="s">
        <v>625</v>
      </c>
      <c r="B107" s="8">
        <v>4325313569</v>
      </c>
      <c r="C107" s="8">
        <v>1</v>
      </c>
      <c r="D107" s="8">
        <v>1</v>
      </c>
      <c r="E107" s="8">
        <v>1</v>
      </c>
      <c r="I107" s="8">
        <v>1</v>
      </c>
    </row>
    <row r="108" spans="1:9" ht="12.75">
      <c r="A108" s="8" t="s">
        <v>544</v>
      </c>
      <c r="B108" s="8">
        <v>4157119059</v>
      </c>
      <c r="F108" s="8">
        <v>1</v>
      </c>
    </row>
    <row r="109" spans="1:9" ht="12.75">
      <c r="A109" s="8" t="s">
        <v>635</v>
      </c>
      <c r="B109" s="8">
        <v>4232233156</v>
      </c>
      <c r="F109" s="8">
        <v>1</v>
      </c>
    </row>
    <row r="110" spans="1:9" ht="12.75">
      <c r="A110" s="8" t="s">
        <v>229</v>
      </c>
      <c r="B110" s="8">
        <v>4149082691</v>
      </c>
      <c r="C110" s="8">
        <v>1</v>
      </c>
    </row>
    <row r="111" spans="1:9" ht="12.75">
      <c r="A111" s="8" t="s">
        <v>641</v>
      </c>
      <c r="B111" s="8">
        <v>4119652065</v>
      </c>
      <c r="F111" s="8">
        <v>1</v>
      </c>
      <c r="I111" s="8">
        <v>1</v>
      </c>
    </row>
    <row r="112" spans="1:9" ht="12.75">
      <c r="A112" s="8" t="s">
        <v>648</v>
      </c>
      <c r="B112" s="8">
        <v>206620659</v>
      </c>
      <c r="D112" s="8">
        <v>1</v>
      </c>
    </row>
    <row r="113" spans="1:9" ht="12.75">
      <c r="A113" s="8" t="s">
        <v>650</v>
      </c>
      <c r="B113" s="8">
        <v>221291305</v>
      </c>
      <c r="F113" s="8">
        <v>1</v>
      </c>
    </row>
    <row r="114" spans="1:9" ht="12.75">
      <c r="A114" s="8" t="s">
        <v>653</v>
      </c>
      <c r="B114" s="8">
        <v>210534962</v>
      </c>
    </row>
    <row r="115" spans="1:9" ht="12.75">
      <c r="A115" s="8" t="s">
        <v>657</v>
      </c>
      <c r="B115" s="8">
        <v>211101068</v>
      </c>
    </row>
    <row r="116" spans="1:9" ht="12.75">
      <c r="A116" s="8" t="s">
        <v>660</v>
      </c>
      <c r="B116" s="8">
        <v>203644422</v>
      </c>
    </row>
    <row r="117" spans="1:9" ht="12.75">
      <c r="A117" s="8" t="s">
        <v>662</v>
      </c>
      <c r="B117" s="8">
        <v>206560509</v>
      </c>
    </row>
    <row r="118" spans="1:9" ht="12.75">
      <c r="A118" s="8" t="s">
        <v>664</v>
      </c>
      <c r="B118" s="8">
        <v>198430640</v>
      </c>
      <c r="F118" s="8">
        <v>1</v>
      </c>
      <c r="I118" s="8">
        <v>1</v>
      </c>
    </row>
    <row r="119" spans="1:9" ht="12.75">
      <c r="A119" s="8" t="s">
        <v>457</v>
      </c>
      <c r="B119" s="8">
        <v>188490841</v>
      </c>
      <c r="C119" s="8">
        <v>1</v>
      </c>
      <c r="F119" s="8">
        <v>1</v>
      </c>
    </row>
    <row r="120" spans="1:9" ht="12.75">
      <c r="A120" s="8" t="s">
        <v>670</v>
      </c>
      <c r="B120" s="8">
        <v>61310795</v>
      </c>
      <c r="I120" s="8">
        <v>1</v>
      </c>
    </row>
    <row r="121" spans="1:9" ht="12.75">
      <c r="A121" s="8" t="s">
        <v>672</v>
      </c>
      <c r="B121" s="8">
        <v>561112507</v>
      </c>
    </row>
    <row r="122" spans="1:9" ht="12.75">
      <c r="A122" s="8" t="s">
        <v>674</v>
      </c>
      <c r="B122" s="8">
        <v>560211223</v>
      </c>
      <c r="I122" s="8">
        <v>1</v>
      </c>
    </row>
    <row r="123" spans="1:9" ht="12.75">
      <c r="A123" s="8" t="s">
        <v>229</v>
      </c>
      <c r="B123" s="8">
        <v>560324251</v>
      </c>
    </row>
    <row r="124" spans="1:9" ht="12.75">
      <c r="A124" s="8" t="s">
        <v>677</v>
      </c>
      <c r="I124" s="8">
        <v>1</v>
      </c>
    </row>
    <row r="125" spans="1:9" ht="12.75">
      <c r="A125" s="8" t="s">
        <v>680</v>
      </c>
    </row>
    <row r="126" spans="1:9" ht="12.75">
      <c r="A126" s="8" t="s">
        <v>682</v>
      </c>
    </row>
    <row r="127" spans="1:9" ht="12.75">
      <c r="A127" s="8" t="s">
        <v>685</v>
      </c>
    </row>
    <row r="128" spans="1:9" ht="12.75">
      <c r="A128" s="8" t="s">
        <v>688</v>
      </c>
    </row>
    <row r="129" spans="1:8" ht="12.75">
      <c r="A129" s="8" t="s">
        <v>691</v>
      </c>
      <c r="D129" s="8">
        <v>1</v>
      </c>
      <c r="E129" s="8">
        <v>1</v>
      </c>
    </row>
    <row r="130" spans="1:8" ht="12.75">
      <c r="A130" s="8" t="s">
        <v>693</v>
      </c>
      <c r="F130" s="8">
        <v>1</v>
      </c>
      <c r="G130" s="8">
        <v>1</v>
      </c>
      <c r="H130" s="8">
        <v>1</v>
      </c>
    </row>
    <row r="131" spans="1:8" ht="12.75">
      <c r="A131" s="8" t="s">
        <v>697</v>
      </c>
      <c r="D131" s="8">
        <v>1</v>
      </c>
      <c r="E131" s="8">
        <v>1</v>
      </c>
      <c r="H131" s="8">
        <v>1</v>
      </c>
    </row>
    <row r="132" spans="1:8" ht="12.75">
      <c r="A132" s="8" t="s">
        <v>699</v>
      </c>
      <c r="C132" s="8">
        <v>1</v>
      </c>
      <c r="F132" s="8">
        <v>1</v>
      </c>
    </row>
    <row r="133" spans="1:8" ht="12.75">
      <c r="A133" s="8" t="s">
        <v>701</v>
      </c>
    </row>
  </sheetData>
  <mergeCells count="2">
    <mergeCell ref="K23:Q24"/>
    <mergeCell ref="K46:S61"/>
  </mergeCells>
  <pageMargins left="0.7" right="0.7" top="0.75" bottom="0.75" header="0.3" footer="0.3"/>
  <headerFooter>
    <oddFooter>&amp;L_x000D_&amp;1#&amp;"Aptos"&amp;10&amp;K000000 Public</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outlinePr summaryBelow="0" summaryRight="0"/>
  </sheetPr>
  <dimension ref="A1:Z988"/>
  <sheetViews>
    <sheetView workbookViewId="0">
      <pane ySplit="1" topLeftCell="A2" activePane="bottomLeft" state="frozen"/>
      <selection pane="bottomLeft" activeCell="B3" sqref="B3"/>
    </sheetView>
  </sheetViews>
  <sheetFormatPr defaultColWidth="12.5703125" defaultRowHeight="15.75" customHeight="1"/>
  <sheetData>
    <row r="1" spans="1:26" ht="15">
      <c r="A1" s="5" t="s">
        <v>3</v>
      </c>
      <c r="B1" s="6" t="s">
        <v>4</v>
      </c>
      <c r="C1" s="5" t="s">
        <v>5</v>
      </c>
      <c r="D1" s="5" t="s">
        <v>6</v>
      </c>
      <c r="E1" s="5" t="s">
        <v>7</v>
      </c>
      <c r="F1" s="7" t="s">
        <v>8</v>
      </c>
      <c r="G1" s="7" t="s">
        <v>9</v>
      </c>
      <c r="H1" s="7" t="s">
        <v>10</v>
      </c>
      <c r="I1" s="7" t="s">
        <v>11</v>
      </c>
      <c r="J1" s="7" t="s">
        <v>12</v>
      </c>
      <c r="K1" s="7" t="s">
        <v>13</v>
      </c>
      <c r="L1" s="7" t="s">
        <v>14</v>
      </c>
      <c r="M1" s="5" t="s">
        <v>15</v>
      </c>
      <c r="N1" s="5" t="s">
        <v>16</v>
      </c>
      <c r="O1" s="5" t="s">
        <v>17</v>
      </c>
      <c r="P1" s="8"/>
      <c r="Q1" s="8"/>
      <c r="R1" s="8"/>
      <c r="S1" s="8"/>
      <c r="T1" s="8"/>
      <c r="U1" s="8"/>
      <c r="V1" s="8"/>
      <c r="W1" s="8"/>
      <c r="X1" s="8"/>
      <c r="Y1" s="8"/>
      <c r="Z1" s="8"/>
    </row>
    <row r="2" spans="1:26" ht="12.75" hidden="1">
      <c r="A2" s="8" t="s">
        <v>369</v>
      </c>
      <c r="B2" s="9">
        <v>45414</v>
      </c>
      <c r="C2" s="8" t="s">
        <v>705</v>
      </c>
      <c r="D2" s="8"/>
      <c r="E2" s="8"/>
      <c r="F2" s="8">
        <v>4</v>
      </c>
      <c r="G2" s="8"/>
      <c r="H2" s="8">
        <v>4</v>
      </c>
      <c r="I2" s="8">
        <v>5</v>
      </c>
      <c r="J2" s="8"/>
      <c r="K2" s="8"/>
      <c r="L2" s="8"/>
      <c r="M2" s="8" t="s">
        <v>706</v>
      </c>
      <c r="N2" s="8"/>
      <c r="O2" s="8"/>
      <c r="P2" s="8"/>
      <c r="Q2" s="8"/>
      <c r="R2" s="8"/>
      <c r="S2" s="8"/>
      <c r="T2" s="8"/>
      <c r="U2" s="8"/>
      <c r="V2" s="8"/>
      <c r="W2" s="8"/>
      <c r="X2" s="8"/>
      <c r="Y2" s="8"/>
      <c r="Z2" s="8"/>
    </row>
    <row r="3" spans="1:26" ht="12.75" hidden="1">
      <c r="A3" s="8" t="s">
        <v>369</v>
      </c>
      <c r="B3" s="9">
        <v>45413</v>
      </c>
      <c r="C3" s="8" t="s">
        <v>707</v>
      </c>
      <c r="D3" s="8"/>
      <c r="E3" s="8"/>
      <c r="F3" s="8">
        <v>5</v>
      </c>
      <c r="G3" s="8"/>
      <c r="H3" s="8">
        <v>5</v>
      </c>
      <c r="I3" s="8">
        <v>5</v>
      </c>
      <c r="J3" s="8"/>
      <c r="K3" s="8"/>
      <c r="L3" s="8"/>
      <c r="M3" s="8" t="s">
        <v>708</v>
      </c>
      <c r="N3" s="8"/>
      <c r="O3" s="8" t="s">
        <v>709</v>
      </c>
      <c r="P3" s="8"/>
      <c r="Q3" s="8"/>
      <c r="R3" s="8"/>
      <c r="S3" s="8"/>
      <c r="T3" s="8"/>
      <c r="U3" s="8"/>
      <c r="V3" s="8"/>
      <c r="W3" s="8"/>
      <c r="X3" s="8"/>
      <c r="Y3" s="8"/>
      <c r="Z3" s="8"/>
    </row>
    <row r="4" spans="1:26" ht="12.75" hidden="1">
      <c r="A4" s="8" t="s">
        <v>369</v>
      </c>
      <c r="B4" s="9">
        <v>45433</v>
      </c>
      <c r="C4" s="8" t="s">
        <v>710</v>
      </c>
      <c r="D4" s="8"/>
      <c r="E4" s="8"/>
      <c r="F4" s="8">
        <v>5</v>
      </c>
      <c r="G4" s="8"/>
      <c r="H4" s="8">
        <v>5</v>
      </c>
      <c r="I4" s="8">
        <v>5</v>
      </c>
      <c r="J4" s="8"/>
      <c r="K4" s="8"/>
      <c r="L4" s="15">
        <v>45422</v>
      </c>
      <c r="M4" s="8" t="s">
        <v>711</v>
      </c>
      <c r="N4" s="8"/>
      <c r="O4" s="8" t="s">
        <v>712</v>
      </c>
      <c r="P4" s="8"/>
      <c r="Q4" s="8"/>
      <c r="R4" s="8"/>
      <c r="S4" s="8"/>
      <c r="T4" s="8"/>
      <c r="U4" s="8"/>
      <c r="V4" s="8"/>
      <c r="W4" s="8"/>
      <c r="X4" s="8"/>
      <c r="Y4" s="8"/>
      <c r="Z4" s="8"/>
    </row>
    <row r="5" spans="1:26" ht="12.75" hidden="1">
      <c r="A5" s="8" t="s">
        <v>369</v>
      </c>
      <c r="B5" s="9">
        <v>45434</v>
      </c>
      <c r="C5" s="8" t="s">
        <v>713</v>
      </c>
      <c r="D5" s="8"/>
      <c r="E5" s="8"/>
      <c r="F5" s="8">
        <v>5</v>
      </c>
      <c r="G5" s="8"/>
      <c r="H5" s="8">
        <v>5</v>
      </c>
      <c r="I5" s="8">
        <v>5</v>
      </c>
      <c r="J5" s="8"/>
      <c r="K5" s="8"/>
      <c r="L5" s="8">
        <v>5</v>
      </c>
      <c r="M5" s="8" t="s">
        <v>714</v>
      </c>
      <c r="N5" s="8"/>
      <c r="O5" s="8" t="s">
        <v>715</v>
      </c>
      <c r="P5" s="8"/>
      <c r="Q5" s="8"/>
      <c r="R5" s="8"/>
      <c r="S5" s="8"/>
      <c r="T5" s="8"/>
      <c r="U5" s="8"/>
      <c r="V5" s="8"/>
      <c r="W5" s="8"/>
      <c r="X5" s="8"/>
      <c r="Y5" s="8"/>
      <c r="Z5" s="8"/>
    </row>
    <row r="6" spans="1:26" ht="12.75" hidden="1">
      <c r="A6" s="8" t="s">
        <v>369</v>
      </c>
      <c r="B6" s="9">
        <v>45439</v>
      </c>
      <c r="C6" s="8" t="s">
        <v>713</v>
      </c>
      <c r="D6" s="8"/>
      <c r="E6" s="8"/>
      <c r="F6" s="8">
        <v>3</v>
      </c>
      <c r="G6" s="8"/>
      <c r="H6" s="8">
        <v>4</v>
      </c>
      <c r="I6" s="8">
        <v>4</v>
      </c>
      <c r="J6" s="8"/>
      <c r="K6" s="8"/>
      <c r="L6" s="8">
        <v>4</v>
      </c>
      <c r="M6" s="8" t="s">
        <v>716</v>
      </c>
      <c r="N6" s="8" t="s">
        <v>717</v>
      </c>
      <c r="O6" s="8"/>
      <c r="P6" s="8"/>
      <c r="Q6" s="8"/>
      <c r="R6" s="8"/>
      <c r="S6" s="8"/>
      <c r="T6" s="8"/>
      <c r="U6" s="8"/>
      <c r="V6" s="8"/>
      <c r="W6" s="8"/>
      <c r="X6" s="8"/>
      <c r="Y6" s="8"/>
      <c r="Z6" s="8"/>
    </row>
    <row r="7" spans="1:26" ht="12.75" hidden="1">
      <c r="A7" s="8" t="s">
        <v>18</v>
      </c>
      <c r="B7" s="9">
        <v>45413</v>
      </c>
      <c r="C7" s="8" t="s">
        <v>517</v>
      </c>
      <c r="D7" s="8" t="s">
        <v>25</v>
      </c>
      <c r="E7" s="8">
        <v>4663026199</v>
      </c>
      <c r="F7" s="8">
        <v>7</v>
      </c>
      <c r="G7" s="8">
        <v>5</v>
      </c>
      <c r="H7" s="8">
        <v>7.5</v>
      </c>
      <c r="I7" s="8">
        <v>7.5</v>
      </c>
      <c r="J7" s="8">
        <v>7.5</v>
      </c>
      <c r="K7" s="8">
        <v>7.5</v>
      </c>
      <c r="L7" s="8"/>
      <c r="M7" s="8" t="s">
        <v>718</v>
      </c>
      <c r="N7" s="8" t="s">
        <v>719</v>
      </c>
      <c r="O7" s="8"/>
      <c r="P7" s="8"/>
      <c r="Q7" s="8"/>
      <c r="R7" s="8"/>
      <c r="S7" s="8"/>
      <c r="T7" s="8"/>
      <c r="U7" s="8"/>
      <c r="V7" s="8"/>
      <c r="W7" s="8"/>
      <c r="X7" s="8"/>
      <c r="Y7" s="8"/>
      <c r="Z7" s="8"/>
    </row>
    <row r="8" spans="1:26" ht="12.75" hidden="1">
      <c r="A8" s="8" t="s">
        <v>18</v>
      </c>
      <c r="B8" s="9">
        <v>45413</v>
      </c>
      <c r="C8" s="8" t="s">
        <v>720</v>
      </c>
      <c r="D8" s="8" t="s">
        <v>25</v>
      </c>
      <c r="E8" s="8">
        <v>4356943688</v>
      </c>
      <c r="F8" s="8">
        <v>7.5</v>
      </c>
      <c r="G8" s="8">
        <v>10</v>
      </c>
      <c r="H8" s="8">
        <v>7.5</v>
      </c>
      <c r="I8" s="8">
        <v>10</v>
      </c>
      <c r="J8" s="8">
        <v>7.5</v>
      </c>
      <c r="K8" s="8">
        <v>7.5</v>
      </c>
      <c r="L8" s="8">
        <v>7.5</v>
      </c>
      <c r="M8" s="8"/>
      <c r="N8" s="8"/>
      <c r="O8" s="8"/>
      <c r="P8" s="8"/>
      <c r="Q8" s="8"/>
      <c r="R8" s="8"/>
      <c r="S8" s="8"/>
      <c r="T8" s="8"/>
      <c r="U8" s="8"/>
      <c r="V8" s="8"/>
      <c r="W8" s="8"/>
      <c r="X8" s="8"/>
      <c r="Y8" s="8"/>
      <c r="Z8" s="8"/>
    </row>
    <row r="9" spans="1:26" ht="12.75" hidden="1">
      <c r="A9" s="8" t="s">
        <v>18</v>
      </c>
      <c r="B9" s="9">
        <v>45413</v>
      </c>
      <c r="C9" s="8" t="s">
        <v>721</v>
      </c>
      <c r="D9" s="8" t="s">
        <v>123</v>
      </c>
      <c r="E9" s="8">
        <v>4765972462</v>
      </c>
      <c r="F9" s="8">
        <v>7.5</v>
      </c>
      <c r="G9" s="8">
        <v>10</v>
      </c>
      <c r="H9" s="8">
        <v>7.5</v>
      </c>
      <c r="I9" s="8">
        <v>10</v>
      </c>
      <c r="J9" s="8">
        <v>7.5</v>
      </c>
      <c r="K9" s="8">
        <v>10</v>
      </c>
      <c r="L9" s="8">
        <v>7.5</v>
      </c>
      <c r="M9" s="8" t="s">
        <v>722</v>
      </c>
      <c r="N9" s="8" t="s">
        <v>723</v>
      </c>
      <c r="O9" s="8"/>
      <c r="P9" s="8"/>
      <c r="Q9" s="8"/>
      <c r="R9" s="8"/>
      <c r="S9" s="8"/>
      <c r="T9" s="8"/>
      <c r="U9" s="8"/>
      <c r="V9" s="8"/>
      <c r="W9" s="8"/>
      <c r="X9" s="8"/>
      <c r="Y9" s="8"/>
      <c r="Z9" s="8"/>
    </row>
    <row r="10" spans="1:26" ht="12.75" hidden="1">
      <c r="A10" s="8" t="s">
        <v>18</v>
      </c>
      <c r="B10" s="9">
        <v>45413</v>
      </c>
      <c r="C10" s="8" t="s">
        <v>724</v>
      </c>
      <c r="D10" s="8" t="s">
        <v>54</v>
      </c>
      <c r="E10" s="8">
        <v>4765910571</v>
      </c>
      <c r="F10" s="8">
        <v>9</v>
      </c>
      <c r="G10" s="8">
        <v>10</v>
      </c>
      <c r="H10" s="8">
        <v>10</v>
      </c>
      <c r="I10" s="8">
        <v>10</v>
      </c>
      <c r="J10" s="8">
        <v>10</v>
      </c>
      <c r="K10" s="8">
        <v>10</v>
      </c>
      <c r="L10" s="8">
        <v>10</v>
      </c>
      <c r="M10" s="8" t="s">
        <v>725</v>
      </c>
      <c r="N10" s="8" t="s">
        <v>726</v>
      </c>
      <c r="O10" s="8"/>
      <c r="P10" s="8"/>
      <c r="Q10" s="8"/>
      <c r="R10" s="8"/>
      <c r="S10" s="8"/>
      <c r="T10" s="8"/>
      <c r="U10" s="8"/>
      <c r="V10" s="8"/>
      <c r="W10" s="8"/>
      <c r="X10" s="8"/>
      <c r="Y10" s="8"/>
      <c r="Z10" s="8"/>
    </row>
    <row r="11" spans="1:26" ht="12.75" hidden="1">
      <c r="A11" s="8" t="s">
        <v>18</v>
      </c>
      <c r="B11" s="9">
        <v>45414</v>
      </c>
      <c r="C11" s="8" t="s">
        <v>727</v>
      </c>
      <c r="D11" s="8" t="s">
        <v>134</v>
      </c>
      <c r="E11" s="8">
        <v>4848798247</v>
      </c>
      <c r="F11" s="8">
        <v>9.6</v>
      </c>
      <c r="G11" s="8">
        <v>10</v>
      </c>
      <c r="H11" s="8">
        <v>10</v>
      </c>
      <c r="I11" s="8">
        <v>10</v>
      </c>
      <c r="J11" s="8">
        <v>10</v>
      </c>
      <c r="K11" s="8">
        <v>10</v>
      </c>
      <c r="L11" s="8">
        <v>7.5</v>
      </c>
      <c r="M11" s="8"/>
      <c r="N11" s="8"/>
      <c r="O11" s="8"/>
      <c r="P11" s="8"/>
      <c r="Q11" s="8"/>
      <c r="R11" s="8"/>
      <c r="S11" s="8"/>
      <c r="T11" s="8"/>
      <c r="U11" s="8"/>
      <c r="V11" s="8"/>
      <c r="W11" s="8"/>
      <c r="X11" s="8"/>
      <c r="Y11" s="8"/>
      <c r="Z11" s="8"/>
    </row>
    <row r="12" spans="1:26" ht="12.75" hidden="1">
      <c r="A12" s="8" t="s">
        <v>18</v>
      </c>
      <c r="B12" s="9">
        <v>45414</v>
      </c>
      <c r="C12" s="8" t="s">
        <v>229</v>
      </c>
      <c r="D12" s="8" t="s">
        <v>431</v>
      </c>
      <c r="E12" s="8">
        <v>4245422619</v>
      </c>
      <c r="F12" s="8">
        <v>7.5</v>
      </c>
      <c r="G12" s="8">
        <v>10</v>
      </c>
      <c r="H12" s="8">
        <v>7.5</v>
      </c>
      <c r="I12" s="8">
        <v>10</v>
      </c>
      <c r="J12" s="8">
        <v>5</v>
      </c>
      <c r="K12" s="8">
        <v>7.5</v>
      </c>
      <c r="L12" s="8">
        <v>5</v>
      </c>
      <c r="M12" s="8" t="s">
        <v>728</v>
      </c>
      <c r="N12" s="8" t="s">
        <v>729</v>
      </c>
      <c r="O12" s="8"/>
      <c r="P12" s="8"/>
      <c r="Q12" s="8"/>
      <c r="R12" s="8"/>
      <c r="S12" s="8"/>
      <c r="T12" s="8"/>
      <c r="U12" s="8"/>
      <c r="V12" s="8"/>
      <c r="W12" s="8"/>
      <c r="X12" s="8"/>
      <c r="Y12" s="8"/>
      <c r="Z12" s="8"/>
    </row>
    <row r="13" spans="1:26" ht="12.75" hidden="1">
      <c r="A13" s="8" t="s">
        <v>18</v>
      </c>
      <c r="B13" s="9">
        <v>45414</v>
      </c>
      <c r="C13" s="8" t="s">
        <v>730</v>
      </c>
      <c r="D13" s="8" t="s">
        <v>171</v>
      </c>
      <c r="E13" s="8">
        <v>4951921323</v>
      </c>
      <c r="F13" s="8">
        <v>7</v>
      </c>
      <c r="G13" s="8">
        <v>5</v>
      </c>
      <c r="H13" s="8">
        <v>7.5</v>
      </c>
      <c r="I13" s="8">
        <v>10</v>
      </c>
      <c r="J13" s="8">
        <v>5</v>
      </c>
      <c r="K13" s="8">
        <v>7.5</v>
      </c>
      <c r="L13" s="8">
        <v>7.5</v>
      </c>
      <c r="M13" s="8" t="s">
        <v>731</v>
      </c>
      <c r="N13" s="8" t="s">
        <v>732</v>
      </c>
      <c r="O13" s="8"/>
      <c r="P13" s="8"/>
      <c r="Q13" s="8"/>
      <c r="R13" s="8"/>
      <c r="S13" s="8"/>
      <c r="T13" s="8"/>
      <c r="U13" s="8"/>
      <c r="V13" s="8"/>
      <c r="W13" s="8"/>
      <c r="X13" s="8"/>
      <c r="Y13" s="8"/>
      <c r="Z13" s="8"/>
    </row>
    <row r="14" spans="1:26" ht="12.75" hidden="1">
      <c r="A14" s="8" t="s">
        <v>18</v>
      </c>
      <c r="B14" s="9">
        <v>45414</v>
      </c>
      <c r="C14" s="8" t="s">
        <v>733</v>
      </c>
      <c r="D14" s="8" t="s">
        <v>43</v>
      </c>
      <c r="E14" s="8">
        <v>4689843365</v>
      </c>
      <c r="F14" s="8">
        <v>6.5</v>
      </c>
      <c r="G14" s="8">
        <v>10</v>
      </c>
      <c r="H14" s="8">
        <v>5</v>
      </c>
      <c r="I14" s="8">
        <v>10</v>
      </c>
      <c r="J14" s="8">
        <v>7.5</v>
      </c>
      <c r="K14" s="8">
        <v>5</v>
      </c>
      <c r="L14" s="8">
        <v>7.5</v>
      </c>
      <c r="M14" s="8" t="s">
        <v>734</v>
      </c>
      <c r="N14" s="8" t="s">
        <v>735</v>
      </c>
      <c r="O14" s="8"/>
      <c r="P14" s="8"/>
      <c r="Q14" s="8"/>
      <c r="R14" s="8"/>
      <c r="S14" s="8"/>
      <c r="T14" s="8"/>
      <c r="U14" s="8"/>
      <c r="V14" s="8"/>
      <c r="W14" s="8"/>
      <c r="X14" s="8"/>
      <c r="Y14" s="8"/>
      <c r="Z14" s="8"/>
    </row>
    <row r="15" spans="1:26" ht="12.75" hidden="1">
      <c r="A15" s="8" t="s">
        <v>18</v>
      </c>
      <c r="B15" s="9">
        <v>45414</v>
      </c>
      <c r="C15" s="8" t="s">
        <v>135</v>
      </c>
      <c r="D15" s="8" t="s">
        <v>54</v>
      </c>
      <c r="E15" s="8">
        <v>4688045658</v>
      </c>
      <c r="F15" s="8">
        <v>7.5</v>
      </c>
      <c r="G15" s="8">
        <v>10</v>
      </c>
      <c r="H15" s="8">
        <v>7.5</v>
      </c>
      <c r="I15" s="8">
        <v>10</v>
      </c>
      <c r="J15" s="8">
        <v>7.5</v>
      </c>
      <c r="K15" s="8">
        <v>7.5</v>
      </c>
      <c r="L15" s="8">
        <v>7.5</v>
      </c>
      <c r="M15" s="8"/>
      <c r="N15" s="8"/>
      <c r="O15" s="8"/>
      <c r="P15" s="8"/>
      <c r="Q15" s="8"/>
      <c r="R15" s="8"/>
      <c r="S15" s="8"/>
      <c r="T15" s="8"/>
      <c r="U15" s="8"/>
      <c r="V15" s="8"/>
      <c r="W15" s="8"/>
      <c r="X15" s="8"/>
      <c r="Y15" s="8"/>
      <c r="Z15" s="8"/>
    </row>
    <row r="16" spans="1:26" ht="12.75" hidden="1">
      <c r="A16" s="8" t="s">
        <v>18</v>
      </c>
      <c r="B16" s="9">
        <v>45414</v>
      </c>
      <c r="C16" s="8" t="s">
        <v>736</v>
      </c>
      <c r="D16" s="8" t="s">
        <v>171</v>
      </c>
      <c r="E16" s="8">
        <v>4446467923</v>
      </c>
      <c r="F16" s="8">
        <v>6</v>
      </c>
      <c r="G16" s="8">
        <v>7.5</v>
      </c>
      <c r="H16" s="8">
        <v>5</v>
      </c>
      <c r="I16" s="8">
        <v>10</v>
      </c>
      <c r="J16" s="8">
        <v>5</v>
      </c>
      <c r="K16" s="8">
        <v>5</v>
      </c>
      <c r="L16" s="8">
        <v>7.5</v>
      </c>
      <c r="M16" s="8"/>
      <c r="N16" s="8"/>
      <c r="O16" s="8"/>
      <c r="P16" s="8"/>
      <c r="Q16" s="8"/>
      <c r="R16" s="8"/>
      <c r="S16" s="8"/>
      <c r="T16" s="8"/>
      <c r="U16" s="8"/>
      <c r="V16" s="8"/>
      <c r="W16" s="8"/>
      <c r="X16" s="8"/>
      <c r="Y16" s="8"/>
      <c r="Z16" s="8"/>
    </row>
    <row r="17" spans="1:26" ht="12.75" hidden="1">
      <c r="A17" s="8" t="s">
        <v>18</v>
      </c>
      <c r="B17" s="9">
        <v>45414</v>
      </c>
      <c r="C17" s="8" t="s">
        <v>737</v>
      </c>
      <c r="D17" s="8" t="s">
        <v>25</v>
      </c>
      <c r="E17" s="8">
        <v>4812555342</v>
      </c>
      <c r="F17" s="8">
        <v>2.5</v>
      </c>
      <c r="G17" s="8">
        <v>2.5</v>
      </c>
      <c r="H17" s="8">
        <v>5</v>
      </c>
      <c r="I17" s="8">
        <v>5</v>
      </c>
      <c r="J17" s="8">
        <v>2.5</v>
      </c>
      <c r="K17" s="8">
        <v>2.5</v>
      </c>
      <c r="L17" s="8">
        <v>2.5</v>
      </c>
      <c r="M17" s="8"/>
      <c r="N17" s="8" t="s">
        <v>738</v>
      </c>
      <c r="O17" s="8"/>
      <c r="P17" s="8"/>
      <c r="Q17" s="8"/>
      <c r="R17" s="8"/>
      <c r="S17" s="8"/>
      <c r="T17" s="8"/>
      <c r="U17" s="8"/>
      <c r="V17" s="8"/>
      <c r="W17" s="8"/>
      <c r="X17" s="8"/>
      <c r="Y17" s="8"/>
      <c r="Z17" s="8"/>
    </row>
    <row r="18" spans="1:26" ht="12.75" hidden="1">
      <c r="A18" s="8" t="s">
        <v>18</v>
      </c>
      <c r="B18" s="9">
        <v>45414</v>
      </c>
      <c r="C18" s="8" t="s">
        <v>739</v>
      </c>
      <c r="D18" s="8" t="s">
        <v>54</v>
      </c>
      <c r="E18" s="8">
        <v>4537427655</v>
      </c>
      <c r="F18" s="8">
        <v>7.9</v>
      </c>
      <c r="G18" s="8">
        <v>10</v>
      </c>
      <c r="H18" s="8">
        <v>7.5</v>
      </c>
      <c r="I18" s="8">
        <v>10</v>
      </c>
      <c r="J18" s="8">
        <v>7.5</v>
      </c>
      <c r="K18" s="8">
        <v>7.5</v>
      </c>
      <c r="L18" s="8">
        <v>5</v>
      </c>
      <c r="M18" s="8" t="s">
        <v>115</v>
      </c>
      <c r="N18" s="8"/>
      <c r="O18" s="8"/>
      <c r="P18" s="8"/>
      <c r="Q18" s="8"/>
      <c r="R18" s="8"/>
      <c r="S18" s="8"/>
      <c r="T18" s="8"/>
      <c r="U18" s="8"/>
      <c r="V18" s="8"/>
      <c r="W18" s="8"/>
      <c r="X18" s="8"/>
      <c r="Y18" s="8"/>
      <c r="Z18" s="8"/>
    </row>
    <row r="19" spans="1:26" ht="12.75" hidden="1">
      <c r="A19" s="8" t="s">
        <v>18</v>
      </c>
      <c r="B19" s="9">
        <v>45414</v>
      </c>
      <c r="C19" s="8" t="s">
        <v>740</v>
      </c>
      <c r="D19" s="8" t="s">
        <v>20</v>
      </c>
      <c r="E19" s="8">
        <v>4895124257</v>
      </c>
      <c r="F19" s="8">
        <v>10</v>
      </c>
      <c r="G19" s="8">
        <v>10</v>
      </c>
      <c r="H19" s="8">
        <v>10</v>
      </c>
      <c r="I19" s="8">
        <v>10</v>
      </c>
      <c r="J19" s="8">
        <v>7.5</v>
      </c>
      <c r="K19" s="8">
        <v>10</v>
      </c>
      <c r="L19" s="8">
        <v>10</v>
      </c>
      <c r="M19" s="8"/>
      <c r="N19" s="8"/>
      <c r="O19" s="8"/>
      <c r="P19" s="8"/>
      <c r="Q19" s="8"/>
      <c r="R19" s="8"/>
      <c r="S19" s="8"/>
      <c r="T19" s="8"/>
      <c r="U19" s="8"/>
      <c r="V19" s="8"/>
      <c r="W19" s="8"/>
      <c r="X19" s="8"/>
      <c r="Y19" s="8"/>
      <c r="Z19" s="8"/>
    </row>
    <row r="20" spans="1:26" ht="12.75" hidden="1">
      <c r="A20" s="8" t="s">
        <v>18</v>
      </c>
      <c r="B20" s="9">
        <v>45414</v>
      </c>
      <c r="C20" s="8" t="s">
        <v>741</v>
      </c>
      <c r="D20" s="8" t="s">
        <v>93</v>
      </c>
      <c r="E20" s="8">
        <v>4699379411</v>
      </c>
      <c r="F20" s="8">
        <v>5.8</v>
      </c>
      <c r="G20" s="8">
        <v>5</v>
      </c>
      <c r="H20" s="8">
        <v>7.5</v>
      </c>
      <c r="I20" s="8">
        <v>10</v>
      </c>
      <c r="J20" s="8">
        <v>2.5</v>
      </c>
      <c r="K20" s="8">
        <v>2.5</v>
      </c>
      <c r="L20" s="8">
        <v>7.5</v>
      </c>
      <c r="M20" s="8" t="s">
        <v>742</v>
      </c>
      <c r="N20" s="8" t="s">
        <v>743</v>
      </c>
      <c r="O20" s="8" t="s">
        <v>744</v>
      </c>
      <c r="P20" s="8"/>
      <c r="Q20" s="8"/>
      <c r="R20" s="8"/>
      <c r="S20" s="8"/>
      <c r="T20" s="8"/>
      <c r="U20" s="8"/>
      <c r="V20" s="8"/>
      <c r="W20" s="8"/>
      <c r="X20" s="8"/>
      <c r="Y20" s="8"/>
      <c r="Z20" s="8"/>
    </row>
    <row r="21" spans="1:26" ht="12.75" hidden="1">
      <c r="A21" s="8" t="s">
        <v>18</v>
      </c>
      <c r="B21" s="9">
        <v>45415</v>
      </c>
      <c r="C21" s="8" t="s">
        <v>745</v>
      </c>
      <c r="D21" s="8" t="s">
        <v>25</v>
      </c>
      <c r="E21" s="8">
        <v>4433344588</v>
      </c>
      <c r="F21" s="8">
        <v>5.8</v>
      </c>
      <c r="G21" s="8">
        <v>10</v>
      </c>
      <c r="H21" s="8">
        <v>2.5</v>
      </c>
      <c r="I21" s="8">
        <v>10</v>
      </c>
      <c r="J21" s="8">
        <v>5</v>
      </c>
      <c r="K21" s="8">
        <v>2.5</v>
      </c>
      <c r="L21" s="8">
        <v>5</v>
      </c>
      <c r="M21" s="8" t="s">
        <v>746</v>
      </c>
      <c r="N21" s="8"/>
      <c r="O21" s="8"/>
      <c r="P21" s="8"/>
      <c r="Q21" s="8"/>
      <c r="R21" s="8"/>
      <c r="S21" s="8"/>
      <c r="T21" s="8"/>
      <c r="U21" s="8"/>
      <c r="V21" s="8"/>
      <c r="W21" s="8"/>
      <c r="X21" s="8"/>
      <c r="Y21" s="8"/>
      <c r="Z21" s="8"/>
    </row>
    <row r="22" spans="1:26" ht="12.75" hidden="1">
      <c r="A22" s="8" t="s">
        <v>18</v>
      </c>
      <c r="B22" s="9">
        <v>45415</v>
      </c>
      <c r="C22" s="8" t="s">
        <v>175</v>
      </c>
      <c r="D22" s="8" t="s">
        <v>45</v>
      </c>
      <c r="E22" s="8">
        <v>4708952260</v>
      </c>
      <c r="F22" s="8">
        <v>8</v>
      </c>
      <c r="G22" s="8">
        <v>10</v>
      </c>
      <c r="H22" s="8">
        <v>7.5</v>
      </c>
      <c r="I22" s="8">
        <v>10</v>
      </c>
      <c r="J22" s="8">
        <v>7.5</v>
      </c>
      <c r="K22" s="8">
        <v>10</v>
      </c>
      <c r="L22" s="8">
        <v>10</v>
      </c>
      <c r="M22" s="8" t="s">
        <v>747</v>
      </c>
      <c r="N22" s="8" t="s">
        <v>748</v>
      </c>
      <c r="O22" s="8"/>
      <c r="P22" s="8"/>
      <c r="Q22" s="8"/>
      <c r="R22" s="8"/>
      <c r="S22" s="8"/>
      <c r="T22" s="8"/>
      <c r="U22" s="8"/>
      <c r="V22" s="8"/>
      <c r="W22" s="8"/>
      <c r="X22" s="8"/>
      <c r="Y22" s="8"/>
      <c r="Z22" s="8"/>
    </row>
    <row r="23" spans="1:26" ht="12.75" hidden="1">
      <c r="A23" s="8" t="s">
        <v>18</v>
      </c>
      <c r="B23" s="9">
        <v>45415</v>
      </c>
      <c r="C23" s="8" t="s">
        <v>749</v>
      </c>
      <c r="D23" s="8" t="s">
        <v>60</v>
      </c>
      <c r="E23" s="8">
        <v>4139045826</v>
      </c>
      <c r="F23" s="8">
        <v>8</v>
      </c>
      <c r="G23" s="8">
        <v>7.5</v>
      </c>
      <c r="H23" s="8">
        <v>7.5</v>
      </c>
      <c r="I23" s="8">
        <v>10</v>
      </c>
      <c r="J23" s="8">
        <v>7.5</v>
      </c>
      <c r="K23" s="8">
        <v>7.5</v>
      </c>
      <c r="L23" s="8">
        <v>10</v>
      </c>
      <c r="M23" s="8" t="s">
        <v>750</v>
      </c>
      <c r="N23" s="8"/>
      <c r="O23" s="8" t="s">
        <v>34</v>
      </c>
      <c r="P23" s="8"/>
      <c r="Q23" s="8"/>
      <c r="R23" s="8"/>
      <c r="S23" s="8"/>
      <c r="T23" s="8"/>
      <c r="U23" s="8"/>
      <c r="V23" s="8"/>
      <c r="W23" s="8"/>
      <c r="X23" s="8"/>
      <c r="Y23" s="8"/>
      <c r="Z23" s="8"/>
    </row>
    <row r="24" spans="1:26" ht="12.75" hidden="1">
      <c r="A24" s="8" t="s">
        <v>18</v>
      </c>
      <c r="B24" s="9">
        <v>45415</v>
      </c>
      <c r="C24" s="8" t="s">
        <v>751</v>
      </c>
      <c r="D24" s="8" t="s">
        <v>85</v>
      </c>
      <c r="E24" s="8">
        <v>4293129526</v>
      </c>
      <c r="F24" s="8">
        <v>1</v>
      </c>
      <c r="G24" s="8">
        <v>10</v>
      </c>
      <c r="H24" s="8">
        <v>7.5</v>
      </c>
      <c r="I24" s="8">
        <v>10</v>
      </c>
      <c r="J24" s="8">
        <v>7.5</v>
      </c>
      <c r="K24" s="8">
        <v>10</v>
      </c>
      <c r="L24" s="8">
        <v>10</v>
      </c>
      <c r="M24" s="8"/>
      <c r="N24" s="8"/>
      <c r="O24" s="8"/>
      <c r="P24" s="8"/>
      <c r="Q24" s="8"/>
      <c r="R24" s="8"/>
      <c r="S24" s="8"/>
      <c r="T24" s="8"/>
      <c r="U24" s="8"/>
      <c r="V24" s="8"/>
      <c r="W24" s="8"/>
      <c r="X24" s="8"/>
      <c r="Y24" s="8"/>
      <c r="Z24" s="8"/>
    </row>
    <row r="25" spans="1:26" ht="12.75" hidden="1">
      <c r="A25" s="8" t="s">
        <v>18</v>
      </c>
      <c r="B25" s="9">
        <v>45415</v>
      </c>
      <c r="C25" s="8" t="s">
        <v>752</v>
      </c>
      <c r="D25" s="8" t="s">
        <v>433</v>
      </c>
      <c r="E25" s="8">
        <v>4084214328</v>
      </c>
      <c r="F25" s="8">
        <v>7</v>
      </c>
      <c r="G25" s="8">
        <v>7.5</v>
      </c>
      <c r="H25" s="8">
        <v>2.5</v>
      </c>
      <c r="I25" s="8">
        <v>10</v>
      </c>
      <c r="J25" s="8">
        <v>2.5</v>
      </c>
      <c r="K25" s="8">
        <v>2.5</v>
      </c>
      <c r="L25" s="8">
        <v>5</v>
      </c>
      <c r="M25" s="8" t="s">
        <v>753</v>
      </c>
      <c r="N25" s="8" t="s">
        <v>754</v>
      </c>
      <c r="O25" s="8" t="s">
        <v>755</v>
      </c>
      <c r="P25" s="8"/>
      <c r="Q25" s="8"/>
      <c r="R25" s="8"/>
      <c r="S25" s="8"/>
      <c r="T25" s="8"/>
      <c r="U25" s="8"/>
      <c r="V25" s="8"/>
      <c r="W25" s="8"/>
      <c r="X25" s="8"/>
      <c r="Y25" s="8"/>
      <c r="Z25" s="8"/>
    </row>
    <row r="26" spans="1:26" ht="12.75" hidden="1">
      <c r="A26" s="8" t="s">
        <v>18</v>
      </c>
      <c r="B26" s="9">
        <v>45415</v>
      </c>
      <c r="C26" s="8" t="s">
        <v>756</v>
      </c>
      <c r="D26" s="8" t="s">
        <v>105</v>
      </c>
      <c r="E26" s="8">
        <v>4234979975</v>
      </c>
      <c r="F26" s="8">
        <v>7</v>
      </c>
      <c r="G26" s="8">
        <v>7.5</v>
      </c>
      <c r="H26" s="8">
        <v>7.5</v>
      </c>
      <c r="I26" s="8">
        <v>10</v>
      </c>
      <c r="J26" s="8">
        <v>5</v>
      </c>
      <c r="K26" s="8">
        <v>5</v>
      </c>
      <c r="L26" s="8">
        <v>5</v>
      </c>
      <c r="M26" s="8" t="s">
        <v>757</v>
      </c>
      <c r="N26" s="8" t="s">
        <v>758</v>
      </c>
      <c r="O26" s="8"/>
      <c r="P26" s="8"/>
      <c r="Q26" s="8"/>
      <c r="R26" s="8"/>
      <c r="S26" s="8"/>
      <c r="T26" s="8"/>
      <c r="U26" s="8"/>
      <c r="V26" s="8"/>
      <c r="W26" s="8"/>
      <c r="X26" s="8"/>
      <c r="Y26" s="8"/>
      <c r="Z26" s="8"/>
    </row>
    <row r="27" spans="1:26" ht="12.75" hidden="1">
      <c r="A27" s="8" t="s">
        <v>18</v>
      </c>
      <c r="B27" s="9">
        <v>45415</v>
      </c>
      <c r="C27" s="8" t="s">
        <v>759</v>
      </c>
      <c r="D27" s="8" t="s">
        <v>54</v>
      </c>
      <c r="E27" s="8">
        <v>4429484974</v>
      </c>
      <c r="F27" s="8">
        <v>8</v>
      </c>
      <c r="G27" s="8">
        <v>7.5</v>
      </c>
      <c r="H27" s="8">
        <v>5</v>
      </c>
      <c r="I27" s="8">
        <v>10</v>
      </c>
      <c r="J27" s="8">
        <v>7.5</v>
      </c>
      <c r="K27" s="8">
        <v>7.5</v>
      </c>
      <c r="L27" s="8">
        <v>7.5</v>
      </c>
      <c r="M27" s="8"/>
      <c r="N27" s="8"/>
      <c r="O27" s="8"/>
      <c r="P27" s="8"/>
      <c r="Q27" s="8"/>
      <c r="R27" s="8"/>
      <c r="S27" s="8"/>
      <c r="T27" s="8"/>
      <c r="U27" s="8"/>
      <c r="V27" s="8"/>
      <c r="W27" s="8"/>
      <c r="X27" s="8"/>
      <c r="Y27" s="8"/>
      <c r="Z27" s="8"/>
    </row>
    <row r="28" spans="1:26" ht="12.75" hidden="1">
      <c r="A28" s="8" t="s">
        <v>18</v>
      </c>
      <c r="B28" s="9">
        <v>45415</v>
      </c>
      <c r="C28" s="8" t="s">
        <v>760</v>
      </c>
      <c r="D28" s="8" t="s">
        <v>93</v>
      </c>
      <c r="E28" s="8">
        <v>4537568836</v>
      </c>
      <c r="F28" s="8">
        <v>4</v>
      </c>
      <c r="G28" s="8">
        <v>7.5</v>
      </c>
      <c r="H28" s="8">
        <v>7.5</v>
      </c>
      <c r="I28" s="8">
        <v>10</v>
      </c>
      <c r="J28" s="8">
        <v>7.5</v>
      </c>
      <c r="K28" s="8">
        <v>7.5</v>
      </c>
      <c r="L28" s="8">
        <v>5</v>
      </c>
      <c r="M28" s="8"/>
      <c r="N28" s="8"/>
      <c r="O28" s="8"/>
      <c r="P28" s="8"/>
      <c r="Q28" s="8"/>
      <c r="R28" s="8"/>
      <c r="S28" s="8"/>
      <c r="T28" s="8"/>
      <c r="U28" s="8"/>
      <c r="V28" s="8"/>
      <c r="W28" s="8"/>
      <c r="X28" s="8"/>
      <c r="Y28" s="8"/>
      <c r="Z28" s="8"/>
    </row>
    <row r="29" spans="1:26" ht="12.75" hidden="1">
      <c r="A29" s="8" t="s">
        <v>18</v>
      </c>
      <c r="B29" s="9">
        <v>45415</v>
      </c>
      <c r="C29" s="8" t="s">
        <v>761</v>
      </c>
      <c r="D29" s="8" t="s">
        <v>43</v>
      </c>
      <c r="E29" s="8">
        <v>4365740411</v>
      </c>
      <c r="F29" s="8">
        <v>10</v>
      </c>
      <c r="G29" s="8">
        <v>7.5</v>
      </c>
      <c r="H29" s="8">
        <v>2.5</v>
      </c>
      <c r="I29" s="8">
        <v>10</v>
      </c>
      <c r="J29" s="8">
        <v>5</v>
      </c>
      <c r="K29" s="8">
        <v>2.5</v>
      </c>
      <c r="L29" s="8">
        <v>5</v>
      </c>
      <c r="M29" s="8" t="s">
        <v>762</v>
      </c>
      <c r="N29" s="8" t="s">
        <v>763</v>
      </c>
      <c r="O29" s="8" t="s">
        <v>764</v>
      </c>
      <c r="P29" s="8"/>
      <c r="Q29" s="8"/>
      <c r="R29" s="8"/>
      <c r="S29" s="8"/>
      <c r="T29" s="8"/>
      <c r="U29" s="8"/>
      <c r="V29" s="8"/>
      <c r="W29" s="8"/>
      <c r="X29" s="8"/>
      <c r="Y29" s="8"/>
      <c r="Z29" s="8"/>
    </row>
    <row r="30" spans="1:26" ht="12.75" hidden="1">
      <c r="A30" s="8" t="s">
        <v>18</v>
      </c>
      <c r="B30" s="9">
        <v>45415</v>
      </c>
      <c r="C30" s="8" t="s">
        <v>765</v>
      </c>
      <c r="D30" s="8" t="s">
        <v>610</v>
      </c>
      <c r="E30" s="8">
        <v>4011990034</v>
      </c>
      <c r="F30" s="8">
        <v>10</v>
      </c>
      <c r="G30" s="8">
        <v>10</v>
      </c>
      <c r="H30" s="8">
        <v>10</v>
      </c>
      <c r="I30" s="8">
        <v>10</v>
      </c>
      <c r="J30" s="8">
        <v>10</v>
      </c>
      <c r="K30" s="8">
        <v>7.5</v>
      </c>
      <c r="L30" s="8">
        <v>10</v>
      </c>
      <c r="M30" s="8" t="s">
        <v>766</v>
      </c>
      <c r="N30" s="8"/>
      <c r="O30" s="8"/>
      <c r="P30" s="8"/>
      <c r="Q30" s="8"/>
      <c r="R30" s="8"/>
      <c r="S30" s="8"/>
      <c r="T30" s="8"/>
      <c r="U30" s="8"/>
      <c r="V30" s="8"/>
      <c r="W30" s="8"/>
      <c r="X30" s="8"/>
      <c r="Y30" s="8"/>
      <c r="Z30" s="8"/>
    </row>
    <row r="31" spans="1:26" ht="12.75" hidden="1">
      <c r="A31" s="8" t="s">
        <v>18</v>
      </c>
      <c r="B31" s="9">
        <v>45416</v>
      </c>
      <c r="C31" s="8" t="s">
        <v>767</v>
      </c>
      <c r="D31" s="8" t="s">
        <v>45</v>
      </c>
      <c r="E31" s="8">
        <v>4189738383</v>
      </c>
      <c r="F31" s="8">
        <v>9</v>
      </c>
      <c r="G31" s="8">
        <v>10</v>
      </c>
      <c r="H31" s="8">
        <v>10</v>
      </c>
      <c r="I31" s="8">
        <v>10</v>
      </c>
      <c r="J31" s="8">
        <v>10</v>
      </c>
      <c r="K31" s="8">
        <v>10</v>
      </c>
      <c r="L31" s="8">
        <v>10</v>
      </c>
      <c r="M31" s="8"/>
      <c r="N31" s="8"/>
      <c r="O31" s="8"/>
      <c r="P31" s="8"/>
      <c r="Q31" s="8"/>
      <c r="R31" s="8"/>
      <c r="S31" s="8"/>
      <c r="T31" s="8"/>
      <c r="U31" s="8"/>
      <c r="V31" s="8"/>
      <c r="W31" s="8"/>
      <c r="X31" s="8"/>
      <c r="Y31" s="8"/>
      <c r="Z31" s="8"/>
    </row>
    <row r="32" spans="1:26" ht="12.75" hidden="1">
      <c r="A32" s="8" t="s">
        <v>18</v>
      </c>
      <c r="B32" s="9">
        <v>45416</v>
      </c>
      <c r="C32" s="8" t="s">
        <v>664</v>
      </c>
      <c r="D32" s="8" t="s">
        <v>45</v>
      </c>
      <c r="E32" s="8">
        <v>4335230708</v>
      </c>
      <c r="F32" s="8">
        <v>8</v>
      </c>
      <c r="G32" s="8">
        <v>10</v>
      </c>
      <c r="H32" s="8">
        <v>7.5</v>
      </c>
      <c r="I32" s="8">
        <v>10</v>
      </c>
      <c r="J32" s="8">
        <v>7.5</v>
      </c>
      <c r="K32" s="8">
        <v>7.5</v>
      </c>
      <c r="L32" s="8">
        <v>10</v>
      </c>
      <c r="M32" s="8" t="s">
        <v>768</v>
      </c>
      <c r="N32" s="8" t="s">
        <v>769</v>
      </c>
      <c r="O32" s="8"/>
      <c r="P32" s="8"/>
      <c r="Q32" s="8"/>
      <c r="R32" s="8"/>
      <c r="S32" s="8"/>
      <c r="T32" s="8"/>
      <c r="U32" s="8"/>
      <c r="V32" s="8"/>
      <c r="W32" s="8"/>
      <c r="X32" s="8"/>
      <c r="Y32" s="8"/>
      <c r="Z32" s="8"/>
    </row>
    <row r="33" spans="1:26" ht="12.75" hidden="1">
      <c r="A33" s="8" t="s">
        <v>18</v>
      </c>
      <c r="B33" s="9">
        <v>45416</v>
      </c>
      <c r="C33" s="8" t="s">
        <v>770</v>
      </c>
      <c r="D33" s="8" t="s">
        <v>25</v>
      </c>
      <c r="E33" s="8">
        <v>4905351551</v>
      </c>
      <c r="F33" s="8">
        <v>10</v>
      </c>
      <c r="G33" s="8">
        <v>10</v>
      </c>
      <c r="H33" s="8">
        <v>10</v>
      </c>
      <c r="I33" s="8">
        <v>10</v>
      </c>
      <c r="J33" s="8">
        <v>10</v>
      </c>
      <c r="K33" s="8">
        <v>10</v>
      </c>
      <c r="L33" s="8">
        <v>10</v>
      </c>
      <c r="M33" s="8"/>
      <c r="N33" s="8"/>
      <c r="O33" s="8"/>
      <c r="P33" s="8"/>
      <c r="Q33" s="8"/>
      <c r="R33" s="8"/>
      <c r="S33" s="8"/>
      <c r="T33" s="8"/>
      <c r="U33" s="8"/>
      <c r="V33" s="8"/>
      <c r="W33" s="8"/>
      <c r="X33" s="8"/>
      <c r="Y33" s="8"/>
      <c r="Z33" s="8"/>
    </row>
    <row r="34" spans="1:26" ht="12.75" hidden="1">
      <c r="A34" s="8" t="s">
        <v>18</v>
      </c>
      <c r="B34" s="9">
        <v>45416</v>
      </c>
      <c r="C34" s="8" t="s">
        <v>771</v>
      </c>
      <c r="D34" s="8" t="s">
        <v>45</v>
      </c>
      <c r="E34" s="8">
        <v>4058582534</v>
      </c>
      <c r="F34" s="8">
        <v>9</v>
      </c>
      <c r="G34" s="8">
        <v>10</v>
      </c>
      <c r="H34" s="8">
        <v>10</v>
      </c>
      <c r="I34" s="8">
        <v>10</v>
      </c>
      <c r="J34" s="8">
        <v>10</v>
      </c>
      <c r="K34" s="8">
        <v>7.5</v>
      </c>
      <c r="L34" s="8">
        <v>10</v>
      </c>
      <c r="M34" s="8" t="s">
        <v>772</v>
      </c>
      <c r="N34" s="8"/>
      <c r="O34" s="8" t="s">
        <v>34</v>
      </c>
      <c r="P34" s="8"/>
      <c r="Q34" s="8"/>
      <c r="R34" s="8"/>
      <c r="S34" s="8"/>
      <c r="T34" s="8"/>
      <c r="U34" s="8"/>
      <c r="V34" s="8"/>
      <c r="W34" s="8"/>
      <c r="X34" s="8"/>
      <c r="Y34" s="8"/>
      <c r="Z34" s="8"/>
    </row>
    <row r="35" spans="1:26" ht="12.75" hidden="1">
      <c r="A35" s="8" t="s">
        <v>18</v>
      </c>
      <c r="B35" s="9">
        <v>45416</v>
      </c>
      <c r="C35" s="8" t="s">
        <v>773</v>
      </c>
      <c r="D35" s="8" t="s">
        <v>45</v>
      </c>
      <c r="E35" s="8">
        <v>4605575561</v>
      </c>
      <c r="F35" s="8">
        <v>7</v>
      </c>
      <c r="G35" s="8">
        <v>7.5</v>
      </c>
      <c r="H35" s="8">
        <v>5</v>
      </c>
      <c r="I35" s="8">
        <v>7.5</v>
      </c>
      <c r="J35" s="8">
        <v>7.5</v>
      </c>
      <c r="K35" s="8">
        <v>5</v>
      </c>
      <c r="L35" s="8">
        <v>2.5</v>
      </c>
      <c r="M35" s="8"/>
      <c r="N35" s="8"/>
      <c r="O35" s="8"/>
      <c r="P35" s="8"/>
      <c r="Q35" s="8"/>
      <c r="R35" s="8"/>
      <c r="S35" s="8"/>
      <c r="T35" s="8"/>
      <c r="U35" s="8"/>
      <c r="V35" s="8"/>
      <c r="W35" s="8"/>
      <c r="X35" s="8"/>
      <c r="Y35" s="8"/>
      <c r="Z35" s="8"/>
    </row>
    <row r="36" spans="1:26" ht="12.75" hidden="1">
      <c r="A36" s="8" t="s">
        <v>18</v>
      </c>
      <c r="B36" s="9">
        <v>45416</v>
      </c>
      <c r="C36" s="8" t="s">
        <v>774</v>
      </c>
      <c r="D36" s="8" t="s">
        <v>439</v>
      </c>
      <c r="E36" s="8">
        <v>4678982494</v>
      </c>
      <c r="F36" s="8">
        <v>8</v>
      </c>
      <c r="G36" s="8">
        <v>7.5</v>
      </c>
      <c r="H36" s="8">
        <v>5</v>
      </c>
      <c r="I36" s="8">
        <v>10</v>
      </c>
      <c r="J36" s="8">
        <v>7.5</v>
      </c>
      <c r="K36" s="8">
        <v>7.5</v>
      </c>
      <c r="L36" s="8">
        <v>7.5</v>
      </c>
      <c r="M36" s="8" t="s">
        <v>34</v>
      </c>
      <c r="N36" s="8"/>
      <c r="O36" s="8"/>
      <c r="P36" s="8"/>
      <c r="Q36" s="8"/>
      <c r="R36" s="8"/>
      <c r="S36" s="8"/>
      <c r="T36" s="8"/>
      <c r="U36" s="8"/>
      <c r="V36" s="8"/>
      <c r="W36" s="8"/>
      <c r="X36" s="8"/>
      <c r="Y36" s="8"/>
      <c r="Z36" s="8"/>
    </row>
    <row r="37" spans="1:26" ht="12.75" hidden="1">
      <c r="A37" s="8" t="s">
        <v>18</v>
      </c>
      <c r="B37" s="9">
        <v>45416</v>
      </c>
      <c r="C37" s="8" t="s">
        <v>775</v>
      </c>
      <c r="D37" s="8" t="s">
        <v>60</v>
      </c>
      <c r="E37" s="8">
        <v>4290771152</v>
      </c>
      <c r="F37" s="8">
        <v>10</v>
      </c>
      <c r="G37" s="8">
        <v>10</v>
      </c>
      <c r="H37" s="8">
        <v>10</v>
      </c>
      <c r="I37" s="8">
        <v>10</v>
      </c>
      <c r="J37" s="8">
        <v>10</v>
      </c>
      <c r="K37" s="8">
        <v>7.5</v>
      </c>
      <c r="L37" s="8">
        <v>7.5</v>
      </c>
      <c r="M37" s="8"/>
      <c r="N37" s="8"/>
      <c r="O37" s="8"/>
      <c r="P37" s="8"/>
      <c r="Q37" s="8"/>
      <c r="R37" s="8"/>
      <c r="S37" s="8"/>
      <c r="T37" s="8"/>
      <c r="U37" s="8"/>
      <c r="V37" s="8"/>
      <c r="W37" s="8"/>
      <c r="X37" s="8"/>
      <c r="Y37" s="8"/>
      <c r="Z37" s="8"/>
    </row>
    <row r="38" spans="1:26" ht="12.75" hidden="1">
      <c r="A38" s="8" t="s">
        <v>18</v>
      </c>
      <c r="B38" s="9">
        <v>45417</v>
      </c>
      <c r="C38" s="8" t="s">
        <v>776</v>
      </c>
      <c r="D38" s="8" t="s">
        <v>148</v>
      </c>
      <c r="E38" s="8">
        <v>4429631028</v>
      </c>
      <c r="F38" s="8">
        <v>8</v>
      </c>
      <c r="G38" s="8">
        <v>10</v>
      </c>
      <c r="H38" s="8">
        <v>7.5</v>
      </c>
      <c r="I38" s="8">
        <v>10</v>
      </c>
      <c r="J38" s="8">
        <v>7.5</v>
      </c>
      <c r="K38" s="8">
        <v>7.5</v>
      </c>
      <c r="L38" s="8">
        <v>5</v>
      </c>
      <c r="M38" s="8" t="s">
        <v>777</v>
      </c>
      <c r="N38" s="8" t="s">
        <v>778</v>
      </c>
      <c r="O38" s="8"/>
      <c r="P38" s="8"/>
      <c r="Q38" s="8"/>
      <c r="R38" s="8"/>
      <c r="S38" s="8"/>
      <c r="T38" s="8"/>
      <c r="U38" s="8"/>
      <c r="V38" s="8"/>
      <c r="W38" s="8"/>
      <c r="X38" s="8"/>
      <c r="Y38" s="8"/>
      <c r="Z38" s="8"/>
    </row>
    <row r="39" spans="1:26" ht="12.75" hidden="1">
      <c r="A39" s="8" t="s">
        <v>18</v>
      </c>
      <c r="B39" s="9">
        <v>45417</v>
      </c>
      <c r="C39" s="8" t="s">
        <v>779</v>
      </c>
      <c r="D39" s="8" t="s">
        <v>148</v>
      </c>
      <c r="E39" s="8">
        <v>4503852654</v>
      </c>
      <c r="F39" s="8">
        <v>10</v>
      </c>
      <c r="G39" s="8">
        <v>10</v>
      </c>
      <c r="H39" s="8">
        <v>7.5</v>
      </c>
      <c r="I39" s="8">
        <v>10</v>
      </c>
      <c r="J39" s="8">
        <v>10</v>
      </c>
      <c r="K39" s="8">
        <v>10</v>
      </c>
      <c r="L39" s="8">
        <v>10</v>
      </c>
      <c r="M39" s="8"/>
      <c r="N39" s="8"/>
      <c r="O39" s="8"/>
      <c r="P39" s="8"/>
      <c r="Q39" s="8"/>
      <c r="R39" s="8"/>
      <c r="S39" s="8"/>
      <c r="T39" s="8"/>
      <c r="U39" s="8"/>
      <c r="V39" s="8"/>
      <c r="W39" s="8"/>
      <c r="X39" s="8"/>
      <c r="Y39" s="8"/>
      <c r="Z39" s="8"/>
    </row>
    <row r="40" spans="1:26" ht="12.75" hidden="1">
      <c r="A40" s="8" t="s">
        <v>18</v>
      </c>
      <c r="B40" s="9">
        <v>45417</v>
      </c>
      <c r="C40" s="8" t="s">
        <v>780</v>
      </c>
      <c r="D40" s="8" t="s">
        <v>105</v>
      </c>
      <c r="E40" s="8">
        <v>4356903063</v>
      </c>
      <c r="F40" s="8">
        <v>8</v>
      </c>
      <c r="G40" s="8">
        <v>10</v>
      </c>
      <c r="H40" s="8">
        <v>10</v>
      </c>
      <c r="I40" s="8">
        <v>10</v>
      </c>
      <c r="J40" s="8">
        <v>7.5</v>
      </c>
      <c r="K40" s="8">
        <v>10</v>
      </c>
      <c r="L40" s="8">
        <v>10</v>
      </c>
      <c r="M40" s="8" t="s">
        <v>781</v>
      </c>
      <c r="N40" s="8"/>
      <c r="O40" s="8"/>
      <c r="P40" s="8"/>
      <c r="Q40" s="8"/>
      <c r="R40" s="8"/>
      <c r="S40" s="8"/>
      <c r="T40" s="8"/>
      <c r="U40" s="8"/>
      <c r="V40" s="8"/>
      <c r="W40" s="8"/>
      <c r="X40" s="8"/>
      <c r="Y40" s="8"/>
      <c r="Z40" s="8"/>
    </row>
    <row r="41" spans="1:26" ht="12.75" hidden="1">
      <c r="A41" s="8" t="s">
        <v>18</v>
      </c>
      <c r="B41" s="9">
        <v>45417</v>
      </c>
      <c r="C41" s="8" t="s">
        <v>782</v>
      </c>
      <c r="D41" s="8" t="s">
        <v>136</v>
      </c>
      <c r="E41" s="8">
        <v>4829764875</v>
      </c>
      <c r="F41" s="8">
        <v>9</v>
      </c>
      <c r="G41" s="8">
        <v>10</v>
      </c>
      <c r="H41" s="8">
        <v>7.5</v>
      </c>
      <c r="I41" s="8">
        <v>10</v>
      </c>
      <c r="J41" s="8">
        <v>7.5</v>
      </c>
      <c r="K41" s="8">
        <v>7.5</v>
      </c>
      <c r="L41" s="8">
        <v>7.5</v>
      </c>
      <c r="M41" s="8"/>
      <c r="N41" s="8"/>
      <c r="O41" s="8"/>
      <c r="P41" s="8"/>
      <c r="Q41" s="8"/>
      <c r="R41" s="8"/>
      <c r="S41" s="8"/>
      <c r="T41" s="8"/>
      <c r="U41" s="8"/>
      <c r="V41" s="8"/>
      <c r="W41" s="8"/>
      <c r="X41" s="8"/>
      <c r="Y41" s="8"/>
      <c r="Z41" s="8"/>
    </row>
    <row r="42" spans="1:26" ht="12.75" hidden="1">
      <c r="A42" s="8" t="s">
        <v>18</v>
      </c>
      <c r="B42" s="9">
        <v>45417</v>
      </c>
      <c r="C42" s="8" t="s">
        <v>783</v>
      </c>
      <c r="D42" s="8" t="s">
        <v>123</v>
      </c>
      <c r="E42" s="8">
        <v>4624140697</v>
      </c>
      <c r="F42" s="8">
        <v>7</v>
      </c>
      <c r="G42" s="8">
        <v>7.5</v>
      </c>
      <c r="H42" s="8">
        <v>7.5</v>
      </c>
      <c r="I42" s="8">
        <v>10</v>
      </c>
      <c r="J42" s="8">
        <v>7.5</v>
      </c>
      <c r="K42" s="8">
        <v>5</v>
      </c>
      <c r="L42" s="8">
        <v>7.5</v>
      </c>
      <c r="M42" s="8" t="s">
        <v>784</v>
      </c>
      <c r="N42" s="8" t="s">
        <v>785</v>
      </c>
      <c r="O42" s="8"/>
      <c r="P42" s="8"/>
      <c r="Q42" s="8"/>
      <c r="R42" s="8"/>
      <c r="S42" s="8"/>
      <c r="T42" s="8"/>
      <c r="U42" s="8"/>
      <c r="V42" s="8"/>
      <c r="W42" s="8"/>
      <c r="X42" s="8"/>
      <c r="Y42" s="8"/>
      <c r="Z42" s="8"/>
    </row>
    <row r="43" spans="1:26" ht="12.75" hidden="1">
      <c r="A43" s="8" t="s">
        <v>18</v>
      </c>
      <c r="B43" s="9">
        <v>45417</v>
      </c>
      <c r="C43" s="8" t="s">
        <v>786</v>
      </c>
      <c r="D43" s="8" t="s">
        <v>54</v>
      </c>
      <c r="E43" s="8">
        <v>4115740994</v>
      </c>
      <c r="F43" s="8">
        <v>6</v>
      </c>
      <c r="G43" s="8">
        <v>7.5</v>
      </c>
      <c r="H43" s="8">
        <v>5</v>
      </c>
      <c r="I43" s="8">
        <v>10</v>
      </c>
      <c r="J43" s="8">
        <v>7.5</v>
      </c>
      <c r="K43" s="8">
        <v>5</v>
      </c>
      <c r="L43" s="8">
        <v>10</v>
      </c>
      <c r="M43" s="8" t="s">
        <v>787</v>
      </c>
      <c r="N43" s="8" t="s">
        <v>788</v>
      </c>
      <c r="O43" s="8"/>
      <c r="P43" s="8"/>
      <c r="Q43" s="8"/>
      <c r="R43" s="8"/>
      <c r="S43" s="8"/>
      <c r="T43" s="8"/>
      <c r="U43" s="8"/>
      <c r="V43" s="8"/>
      <c r="W43" s="8"/>
      <c r="X43" s="8"/>
      <c r="Y43" s="8"/>
      <c r="Z43" s="8"/>
    </row>
    <row r="44" spans="1:26" ht="12.75" hidden="1">
      <c r="A44" s="8" t="s">
        <v>18</v>
      </c>
      <c r="B44" s="9">
        <v>45417</v>
      </c>
      <c r="C44" s="8" t="s">
        <v>789</v>
      </c>
      <c r="D44" s="8" t="s">
        <v>134</v>
      </c>
      <c r="E44" s="8">
        <v>4446424499</v>
      </c>
      <c r="F44" s="8">
        <v>7</v>
      </c>
      <c r="G44" s="8">
        <v>10</v>
      </c>
      <c r="H44" s="8">
        <v>5</v>
      </c>
      <c r="I44" s="8">
        <v>10</v>
      </c>
      <c r="J44" s="8">
        <v>7.5</v>
      </c>
      <c r="K44" s="8">
        <v>7.5</v>
      </c>
      <c r="L44" s="8">
        <v>10</v>
      </c>
      <c r="M44" s="8" t="s">
        <v>790</v>
      </c>
      <c r="N44" s="8" t="s">
        <v>791</v>
      </c>
      <c r="O44" s="8"/>
      <c r="P44" s="8"/>
      <c r="Q44" s="8"/>
      <c r="R44" s="8"/>
      <c r="S44" s="8"/>
      <c r="T44" s="8"/>
      <c r="U44" s="8"/>
      <c r="V44" s="8"/>
      <c r="W44" s="8"/>
      <c r="X44" s="8"/>
      <c r="Y44" s="8"/>
      <c r="Z44" s="8"/>
    </row>
    <row r="45" spans="1:26" ht="12.75" hidden="1">
      <c r="A45" s="8" t="s">
        <v>18</v>
      </c>
      <c r="B45" s="9">
        <v>45417</v>
      </c>
      <c r="C45" s="8" t="s">
        <v>792</v>
      </c>
      <c r="D45" s="8" t="s">
        <v>60</v>
      </c>
      <c r="E45" s="8">
        <v>4206337755</v>
      </c>
      <c r="F45" s="8">
        <v>6</v>
      </c>
      <c r="G45" s="8">
        <v>7.5</v>
      </c>
      <c r="H45" s="8">
        <v>5</v>
      </c>
      <c r="I45" s="8">
        <v>10</v>
      </c>
      <c r="J45" s="8">
        <v>5</v>
      </c>
      <c r="K45" s="8">
        <v>5</v>
      </c>
      <c r="L45" s="8">
        <v>5</v>
      </c>
      <c r="M45" s="8" t="s">
        <v>793</v>
      </c>
      <c r="N45" s="8"/>
      <c r="O45" s="8"/>
      <c r="P45" s="8"/>
      <c r="Q45" s="8"/>
      <c r="R45" s="8"/>
      <c r="S45" s="8"/>
      <c r="T45" s="8"/>
      <c r="U45" s="8"/>
      <c r="V45" s="8"/>
      <c r="W45" s="8"/>
      <c r="X45" s="8"/>
      <c r="Y45" s="8"/>
      <c r="Z45" s="8"/>
    </row>
    <row r="46" spans="1:26" ht="12.75" hidden="1">
      <c r="A46" s="8" t="s">
        <v>18</v>
      </c>
      <c r="B46" s="9">
        <v>45417</v>
      </c>
      <c r="C46" s="8" t="s">
        <v>794</v>
      </c>
      <c r="D46" s="8" t="s">
        <v>28</v>
      </c>
      <c r="E46" s="8">
        <v>4471900860</v>
      </c>
      <c r="F46" s="8">
        <v>5</v>
      </c>
      <c r="G46" s="8">
        <v>7.5</v>
      </c>
      <c r="H46" s="8">
        <v>2.5</v>
      </c>
      <c r="I46" s="8">
        <v>10</v>
      </c>
      <c r="J46" s="8"/>
      <c r="K46" s="8">
        <v>2.5</v>
      </c>
      <c r="L46" s="8">
        <v>2.5</v>
      </c>
      <c r="M46" s="8"/>
      <c r="N46" s="8"/>
      <c r="O46" s="8"/>
      <c r="P46" s="8"/>
      <c r="Q46" s="8"/>
      <c r="R46" s="8"/>
      <c r="S46" s="8"/>
      <c r="T46" s="8"/>
      <c r="U46" s="8"/>
      <c r="V46" s="8"/>
      <c r="W46" s="8"/>
      <c r="X46" s="8"/>
      <c r="Y46" s="8"/>
      <c r="Z46" s="8"/>
    </row>
    <row r="47" spans="1:26" ht="12.75" hidden="1">
      <c r="A47" s="8" t="s">
        <v>18</v>
      </c>
      <c r="B47" s="9">
        <v>45418</v>
      </c>
      <c r="C47" s="8" t="s">
        <v>569</v>
      </c>
      <c r="D47" s="8" t="s">
        <v>36</v>
      </c>
      <c r="E47" s="8">
        <v>4842722387</v>
      </c>
      <c r="F47" s="8">
        <v>8</v>
      </c>
      <c r="G47" s="8">
        <v>10</v>
      </c>
      <c r="H47" s="8">
        <v>10</v>
      </c>
      <c r="I47" s="8">
        <v>10</v>
      </c>
      <c r="J47" s="8">
        <v>10</v>
      </c>
      <c r="K47" s="8">
        <v>7.5</v>
      </c>
      <c r="L47" s="8">
        <v>10</v>
      </c>
      <c r="M47" s="8" t="s">
        <v>795</v>
      </c>
      <c r="N47" s="8" t="s">
        <v>796</v>
      </c>
      <c r="O47" s="8"/>
      <c r="P47" s="8"/>
      <c r="Q47" s="8"/>
      <c r="R47" s="8"/>
      <c r="S47" s="8"/>
      <c r="T47" s="8"/>
      <c r="U47" s="8"/>
      <c r="V47" s="8"/>
      <c r="W47" s="8"/>
      <c r="X47" s="8"/>
      <c r="Y47" s="8"/>
      <c r="Z47" s="8"/>
    </row>
    <row r="48" spans="1:26" ht="12.75" hidden="1">
      <c r="A48" s="8" t="s">
        <v>18</v>
      </c>
      <c r="B48" s="9">
        <v>45418</v>
      </c>
      <c r="C48" s="8" t="s">
        <v>797</v>
      </c>
      <c r="D48" s="8" t="s">
        <v>54</v>
      </c>
      <c r="E48" s="8">
        <v>4706084527</v>
      </c>
      <c r="F48" s="8">
        <v>8</v>
      </c>
      <c r="G48" s="8">
        <v>10</v>
      </c>
      <c r="H48" s="8">
        <v>10</v>
      </c>
      <c r="I48" s="8">
        <v>10</v>
      </c>
      <c r="J48" s="8">
        <v>10</v>
      </c>
      <c r="K48" s="8">
        <v>10</v>
      </c>
      <c r="L48" s="8">
        <v>10</v>
      </c>
      <c r="M48" s="8" t="s">
        <v>798</v>
      </c>
      <c r="N48" s="8"/>
      <c r="O48" s="8"/>
      <c r="P48" s="8"/>
      <c r="Q48" s="8"/>
      <c r="R48" s="8"/>
      <c r="S48" s="8"/>
      <c r="T48" s="8"/>
      <c r="U48" s="8"/>
      <c r="V48" s="8"/>
      <c r="W48" s="8"/>
      <c r="X48" s="8"/>
      <c r="Y48" s="8"/>
      <c r="Z48" s="8"/>
    </row>
    <row r="49" spans="1:26" ht="12.75" hidden="1">
      <c r="A49" s="8" t="s">
        <v>18</v>
      </c>
      <c r="B49" s="9">
        <v>45418</v>
      </c>
      <c r="C49" s="8" t="s">
        <v>799</v>
      </c>
      <c r="D49" s="8" t="s">
        <v>60</v>
      </c>
      <c r="E49" s="8">
        <v>4928277929</v>
      </c>
      <c r="F49" s="8">
        <v>7</v>
      </c>
      <c r="G49" s="8">
        <v>7.5</v>
      </c>
      <c r="H49" s="8">
        <v>7.5</v>
      </c>
      <c r="I49" s="8">
        <v>10</v>
      </c>
      <c r="J49" s="8">
        <v>5</v>
      </c>
      <c r="K49" s="8">
        <v>7.5</v>
      </c>
      <c r="L49" s="8">
        <v>7.5</v>
      </c>
      <c r="M49" s="8" t="s">
        <v>800</v>
      </c>
      <c r="N49" s="8" t="s">
        <v>801</v>
      </c>
      <c r="O49" s="8"/>
      <c r="P49" s="8"/>
      <c r="Q49" s="8"/>
      <c r="R49" s="8"/>
      <c r="S49" s="8"/>
      <c r="T49" s="8"/>
      <c r="U49" s="8"/>
      <c r="V49" s="8"/>
      <c r="W49" s="8"/>
      <c r="X49" s="8"/>
      <c r="Y49" s="8"/>
      <c r="Z49" s="8"/>
    </row>
    <row r="50" spans="1:26" ht="12.75" hidden="1">
      <c r="A50" s="8" t="s">
        <v>18</v>
      </c>
      <c r="B50" s="9">
        <v>45418</v>
      </c>
      <c r="C50" s="8" t="s">
        <v>802</v>
      </c>
      <c r="D50" s="8" t="s">
        <v>25</v>
      </c>
      <c r="E50" s="8">
        <v>4631964178</v>
      </c>
      <c r="F50" s="8">
        <v>8</v>
      </c>
      <c r="G50" s="8">
        <v>10</v>
      </c>
      <c r="H50" s="8">
        <v>10</v>
      </c>
      <c r="I50" s="8">
        <v>10</v>
      </c>
      <c r="J50" s="8">
        <v>7.5</v>
      </c>
      <c r="K50" s="8">
        <v>7.5</v>
      </c>
      <c r="L50" s="8">
        <v>10</v>
      </c>
      <c r="M50" s="8" t="s">
        <v>56</v>
      </c>
      <c r="N50" s="8"/>
      <c r="O50" s="8"/>
      <c r="P50" s="8"/>
      <c r="Q50" s="8"/>
      <c r="R50" s="8"/>
      <c r="S50" s="8"/>
      <c r="T50" s="8"/>
      <c r="U50" s="8"/>
      <c r="V50" s="8"/>
      <c r="W50" s="8"/>
      <c r="X50" s="8"/>
      <c r="Y50" s="8"/>
      <c r="Z50" s="8"/>
    </row>
    <row r="51" spans="1:26" ht="12.75" hidden="1">
      <c r="A51" s="8" t="s">
        <v>18</v>
      </c>
      <c r="B51" s="9">
        <v>45419</v>
      </c>
      <c r="C51" s="8" t="s">
        <v>803</v>
      </c>
      <c r="D51" s="8"/>
      <c r="E51" s="8">
        <v>4700877243</v>
      </c>
      <c r="F51" s="8">
        <v>7</v>
      </c>
      <c r="G51" s="8">
        <v>7.5</v>
      </c>
      <c r="H51" s="8">
        <v>7.5</v>
      </c>
      <c r="I51" s="8">
        <v>10</v>
      </c>
      <c r="J51" s="8">
        <v>7.5</v>
      </c>
      <c r="K51" s="8">
        <v>7.5</v>
      </c>
      <c r="L51" s="8">
        <v>7.5</v>
      </c>
      <c r="M51" s="8"/>
      <c r="N51" s="8"/>
      <c r="O51" s="8"/>
      <c r="P51" s="8"/>
      <c r="Q51" s="8"/>
      <c r="R51" s="8"/>
      <c r="S51" s="8"/>
      <c r="T51" s="8"/>
      <c r="U51" s="8"/>
      <c r="V51" s="8"/>
      <c r="W51" s="8"/>
      <c r="X51" s="8"/>
      <c r="Y51" s="8"/>
      <c r="Z51" s="8"/>
    </row>
    <row r="52" spans="1:26" ht="12.75" hidden="1">
      <c r="A52" s="8" t="s">
        <v>18</v>
      </c>
      <c r="B52" s="9">
        <v>45419</v>
      </c>
      <c r="C52" s="8" t="s">
        <v>804</v>
      </c>
      <c r="D52" s="8" t="s">
        <v>252</v>
      </c>
      <c r="E52" s="8">
        <v>4219332369</v>
      </c>
      <c r="F52" s="8">
        <v>10</v>
      </c>
      <c r="G52" s="8">
        <v>10</v>
      </c>
      <c r="H52" s="8">
        <v>10</v>
      </c>
      <c r="I52" s="8">
        <v>10</v>
      </c>
      <c r="J52" s="8">
        <v>10</v>
      </c>
      <c r="K52" s="8">
        <v>10</v>
      </c>
      <c r="L52" s="8">
        <v>10</v>
      </c>
      <c r="M52" s="8" t="s">
        <v>805</v>
      </c>
      <c r="N52" s="8"/>
      <c r="O52" s="8"/>
      <c r="P52" s="8"/>
      <c r="Q52" s="8"/>
      <c r="R52" s="8"/>
      <c r="S52" s="8"/>
      <c r="T52" s="8"/>
      <c r="U52" s="8"/>
      <c r="V52" s="8"/>
      <c r="W52" s="8"/>
      <c r="X52" s="8"/>
      <c r="Y52" s="8"/>
      <c r="Z52" s="8"/>
    </row>
    <row r="53" spans="1:26" ht="12.75" hidden="1">
      <c r="A53" s="8" t="s">
        <v>18</v>
      </c>
      <c r="B53" s="9">
        <v>45419</v>
      </c>
      <c r="C53" s="8" t="s">
        <v>806</v>
      </c>
      <c r="D53" s="8" t="s">
        <v>36</v>
      </c>
      <c r="E53" s="8">
        <v>4739833539</v>
      </c>
      <c r="F53" s="8">
        <v>7</v>
      </c>
      <c r="G53" s="8">
        <v>10</v>
      </c>
      <c r="H53" s="8">
        <v>10</v>
      </c>
      <c r="I53" s="8">
        <v>10</v>
      </c>
      <c r="J53" s="8">
        <v>10</v>
      </c>
      <c r="K53" s="8">
        <v>7.5</v>
      </c>
      <c r="L53" s="8">
        <v>10</v>
      </c>
      <c r="M53" s="8" t="s">
        <v>807</v>
      </c>
      <c r="N53" s="8" t="s">
        <v>808</v>
      </c>
      <c r="O53" s="8" t="s">
        <v>809</v>
      </c>
      <c r="P53" s="8"/>
      <c r="Q53" s="8"/>
      <c r="R53" s="8"/>
      <c r="S53" s="8"/>
      <c r="T53" s="8"/>
      <c r="U53" s="8"/>
      <c r="V53" s="8"/>
      <c r="W53" s="8"/>
      <c r="X53" s="8"/>
      <c r="Y53" s="8"/>
      <c r="Z53" s="8"/>
    </row>
    <row r="54" spans="1:26" ht="12.75" hidden="1">
      <c r="A54" s="8" t="s">
        <v>18</v>
      </c>
      <c r="B54" s="9">
        <v>45419</v>
      </c>
      <c r="C54" s="8" t="s">
        <v>810</v>
      </c>
      <c r="D54" s="8" t="s">
        <v>123</v>
      </c>
      <c r="E54" s="8">
        <v>4420241772</v>
      </c>
      <c r="F54" s="8">
        <v>5</v>
      </c>
      <c r="G54" s="8">
        <v>7.5</v>
      </c>
      <c r="H54" s="8">
        <v>7.5</v>
      </c>
      <c r="I54" s="8">
        <v>10</v>
      </c>
      <c r="J54" s="8">
        <v>2.5</v>
      </c>
      <c r="K54" s="8">
        <v>7.5</v>
      </c>
      <c r="L54" s="8">
        <v>5</v>
      </c>
      <c r="M54" s="8" t="s">
        <v>811</v>
      </c>
      <c r="N54" s="8" t="s">
        <v>812</v>
      </c>
      <c r="O54" s="8"/>
      <c r="P54" s="8"/>
      <c r="Q54" s="8"/>
      <c r="R54" s="8"/>
      <c r="S54" s="8"/>
      <c r="T54" s="8"/>
      <c r="U54" s="8"/>
      <c r="V54" s="8"/>
      <c r="W54" s="8"/>
      <c r="X54" s="8"/>
      <c r="Y54" s="8"/>
      <c r="Z54" s="8"/>
    </row>
    <row r="55" spans="1:26" ht="12.75" hidden="1">
      <c r="A55" s="8" t="s">
        <v>18</v>
      </c>
      <c r="B55" s="9">
        <v>45419</v>
      </c>
      <c r="C55" s="8" t="s">
        <v>813</v>
      </c>
      <c r="D55" s="8" t="s">
        <v>60</v>
      </c>
      <c r="E55" s="8">
        <v>4749061663</v>
      </c>
      <c r="F55" s="8">
        <v>9</v>
      </c>
      <c r="G55" s="8">
        <v>10</v>
      </c>
      <c r="H55" s="8">
        <v>7.5</v>
      </c>
      <c r="I55" s="8">
        <v>10</v>
      </c>
      <c r="J55" s="8">
        <v>7.5</v>
      </c>
      <c r="K55" s="8">
        <v>7.5</v>
      </c>
      <c r="L55" s="8">
        <v>7.5</v>
      </c>
      <c r="M55" s="8" t="s">
        <v>814</v>
      </c>
      <c r="N55" s="8"/>
      <c r="O55" s="8"/>
      <c r="P55" s="8"/>
      <c r="Q55" s="8"/>
      <c r="R55" s="8"/>
      <c r="S55" s="8"/>
      <c r="T55" s="8"/>
      <c r="U55" s="8"/>
      <c r="V55" s="8"/>
      <c r="W55" s="8"/>
      <c r="X55" s="8"/>
      <c r="Y55" s="8"/>
      <c r="Z55" s="8"/>
    </row>
    <row r="56" spans="1:26" ht="12.75" hidden="1">
      <c r="A56" s="8" t="s">
        <v>18</v>
      </c>
      <c r="B56" s="9">
        <v>45419</v>
      </c>
      <c r="C56" s="8" t="s">
        <v>815</v>
      </c>
      <c r="D56" s="8" t="s">
        <v>93</v>
      </c>
      <c r="E56" s="8">
        <v>4258402783</v>
      </c>
      <c r="F56" s="8">
        <v>9</v>
      </c>
      <c r="G56" s="8">
        <v>10</v>
      </c>
      <c r="H56" s="8">
        <v>10</v>
      </c>
      <c r="I56" s="8">
        <v>10</v>
      </c>
      <c r="J56" s="8">
        <v>10</v>
      </c>
      <c r="K56" s="8">
        <v>10</v>
      </c>
      <c r="L56" s="8">
        <v>10</v>
      </c>
      <c r="M56" s="8" t="s">
        <v>814</v>
      </c>
      <c r="N56" s="8"/>
      <c r="O56" s="8"/>
      <c r="P56" s="8"/>
      <c r="Q56" s="8"/>
      <c r="R56" s="8"/>
      <c r="S56" s="8"/>
      <c r="T56" s="8"/>
      <c r="U56" s="8"/>
      <c r="V56" s="8"/>
      <c r="W56" s="8"/>
      <c r="X56" s="8"/>
      <c r="Y56" s="8"/>
      <c r="Z56" s="8"/>
    </row>
    <row r="57" spans="1:26" ht="12.75" hidden="1">
      <c r="A57" s="8" t="s">
        <v>18</v>
      </c>
      <c r="B57" s="9">
        <v>45420</v>
      </c>
      <c r="C57" s="8" t="s">
        <v>816</v>
      </c>
      <c r="D57" s="8" t="s">
        <v>20</v>
      </c>
      <c r="E57" s="8">
        <v>4822808747</v>
      </c>
      <c r="F57" s="8">
        <v>8</v>
      </c>
      <c r="G57" s="8">
        <v>7.5</v>
      </c>
      <c r="H57" s="8">
        <v>5</v>
      </c>
      <c r="I57" s="8">
        <v>7.5</v>
      </c>
      <c r="J57" s="8">
        <v>7.5</v>
      </c>
      <c r="K57" s="8">
        <v>7.5</v>
      </c>
      <c r="L57" s="8">
        <v>7.5</v>
      </c>
      <c r="M57" s="8"/>
      <c r="N57" s="8"/>
      <c r="O57" s="8"/>
      <c r="P57" s="8"/>
      <c r="Q57" s="8"/>
      <c r="R57" s="8"/>
      <c r="S57" s="8"/>
      <c r="T57" s="8"/>
      <c r="U57" s="8"/>
      <c r="V57" s="8"/>
      <c r="W57" s="8"/>
      <c r="X57" s="8"/>
      <c r="Y57" s="8"/>
      <c r="Z57" s="8"/>
    </row>
    <row r="58" spans="1:26" ht="12.75" hidden="1">
      <c r="A58" s="8" t="s">
        <v>18</v>
      </c>
      <c r="B58" s="9">
        <v>45420</v>
      </c>
      <c r="C58" s="8" t="s">
        <v>817</v>
      </c>
      <c r="D58" s="8" t="s">
        <v>20</v>
      </c>
      <c r="E58" s="8">
        <v>4857007626</v>
      </c>
      <c r="F58" s="8">
        <v>5</v>
      </c>
      <c r="G58" s="8">
        <v>2.5</v>
      </c>
      <c r="H58" s="8">
        <v>5</v>
      </c>
      <c r="I58" s="8">
        <v>10</v>
      </c>
      <c r="J58" s="8">
        <v>5</v>
      </c>
      <c r="K58" s="8">
        <v>7.5</v>
      </c>
      <c r="L58" s="8">
        <v>10</v>
      </c>
      <c r="M58" s="8" t="s">
        <v>818</v>
      </c>
      <c r="N58" s="8" t="s">
        <v>819</v>
      </c>
      <c r="O58" s="8"/>
      <c r="P58" s="8"/>
      <c r="Q58" s="8"/>
      <c r="R58" s="8"/>
      <c r="S58" s="8"/>
      <c r="T58" s="8"/>
      <c r="U58" s="8"/>
      <c r="V58" s="8"/>
      <c r="W58" s="8"/>
      <c r="X58" s="8"/>
      <c r="Y58" s="8"/>
      <c r="Z58" s="8"/>
    </row>
    <row r="59" spans="1:26" ht="12.75" hidden="1">
      <c r="A59" s="8" t="s">
        <v>18</v>
      </c>
      <c r="B59" s="9">
        <v>45420</v>
      </c>
      <c r="C59" s="8" t="s">
        <v>820</v>
      </c>
      <c r="D59" s="8" t="s">
        <v>36</v>
      </c>
      <c r="E59" s="8">
        <v>4078367736</v>
      </c>
      <c r="F59" s="8">
        <v>10</v>
      </c>
      <c r="G59" s="8">
        <v>7.5</v>
      </c>
      <c r="H59" s="8">
        <v>10</v>
      </c>
      <c r="I59" s="8">
        <v>10</v>
      </c>
      <c r="J59" s="8">
        <v>10</v>
      </c>
      <c r="K59" s="8">
        <v>10</v>
      </c>
      <c r="L59" s="8">
        <v>10</v>
      </c>
      <c r="M59" s="8"/>
      <c r="N59" s="8"/>
      <c r="O59" s="8"/>
      <c r="P59" s="8"/>
      <c r="Q59" s="8"/>
      <c r="R59" s="8"/>
      <c r="S59" s="8"/>
      <c r="T59" s="8"/>
      <c r="U59" s="8"/>
      <c r="V59" s="8"/>
      <c r="W59" s="8"/>
      <c r="X59" s="8"/>
      <c r="Y59" s="8"/>
      <c r="Z59" s="8"/>
    </row>
    <row r="60" spans="1:26" ht="12.75" hidden="1">
      <c r="A60" s="8" t="s">
        <v>18</v>
      </c>
      <c r="B60" s="9">
        <v>45420</v>
      </c>
      <c r="C60" s="8" t="s">
        <v>821</v>
      </c>
      <c r="D60" s="8" t="s">
        <v>105</v>
      </c>
      <c r="E60" s="8">
        <v>4931353349</v>
      </c>
      <c r="F60" s="8">
        <v>7</v>
      </c>
      <c r="G60" s="8">
        <v>7.5</v>
      </c>
      <c r="H60" s="8">
        <v>7.5</v>
      </c>
      <c r="I60" s="8">
        <v>10</v>
      </c>
      <c r="J60" s="8">
        <v>5</v>
      </c>
      <c r="K60" s="8">
        <v>7.5</v>
      </c>
      <c r="L60" s="8">
        <v>7.5</v>
      </c>
      <c r="M60" s="8" t="s">
        <v>822</v>
      </c>
      <c r="N60" s="8" t="s">
        <v>823</v>
      </c>
      <c r="O60" s="8" t="s">
        <v>824</v>
      </c>
      <c r="P60" s="8"/>
      <c r="Q60" s="8"/>
      <c r="R60" s="8"/>
      <c r="S60" s="8"/>
      <c r="T60" s="8"/>
      <c r="U60" s="8"/>
      <c r="V60" s="8"/>
      <c r="W60" s="8"/>
      <c r="X60" s="8"/>
      <c r="Y60" s="8"/>
      <c r="Z60" s="8"/>
    </row>
    <row r="61" spans="1:26" ht="12.75" hidden="1">
      <c r="A61" s="8" t="s">
        <v>18</v>
      </c>
      <c r="B61" s="9">
        <v>45420</v>
      </c>
      <c r="C61" s="8" t="s">
        <v>825</v>
      </c>
      <c r="D61" s="8" t="s">
        <v>54</v>
      </c>
      <c r="E61" s="8">
        <v>4140736934</v>
      </c>
      <c r="F61" s="8">
        <v>4</v>
      </c>
      <c r="G61" s="8">
        <v>7.5</v>
      </c>
      <c r="H61" s="8">
        <v>2.5</v>
      </c>
      <c r="I61" s="8">
        <v>10</v>
      </c>
      <c r="J61" s="8">
        <v>5</v>
      </c>
      <c r="K61" s="8">
        <v>2.5</v>
      </c>
      <c r="L61" s="8">
        <v>5</v>
      </c>
      <c r="M61" s="8" t="s">
        <v>826</v>
      </c>
      <c r="N61" s="8" t="s">
        <v>827</v>
      </c>
      <c r="O61" s="8"/>
      <c r="P61" s="8"/>
      <c r="Q61" s="8"/>
      <c r="R61" s="8"/>
      <c r="S61" s="8"/>
      <c r="T61" s="8"/>
      <c r="U61" s="8"/>
      <c r="V61" s="8"/>
      <c r="W61" s="8"/>
      <c r="X61" s="8"/>
      <c r="Y61" s="8"/>
      <c r="Z61" s="8"/>
    </row>
    <row r="62" spans="1:26" ht="12.75" hidden="1">
      <c r="A62" s="8" t="s">
        <v>18</v>
      </c>
      <c r="B62" s="9">
        <v>45420</v>
      </c>
      <c r="C62" s="8" t="s">
        <v>828</v>
      </c>
      <c r="D62" s="8" t="s">
        <v>148</v>
      </c>
      <c r="E62" s="8">
        <v>4308677137</v>
      </c>
      <c r="F62" s="8">
        <v>10</v>
      </c>
      <c r="G62" s="8">
        <v>10</v>
      </c>
      <c r="H62" s="8">
        <v>10</v>
      </c>
      <c r="I62" s="8">
        <v>10</v>
      </c>
      <c r="J62" s="8">
        <v>10</v>
      </c>
      <c r="K62" s="8">
        <v>10</v>
      </c>
      <c r="L62" s="8">
        <v>10</v>
      </c>
      <c r="M62" s="8" t="s">
        <v>829</v>
      </c>
      <c r="N62" s="8" t="s">
        <v>830</v>
      </c>
      <c r="O62" s="8" t="s">
        <v>831</v>
      </c>
      <c r="P62" s="8"/>
      <c r="Q62" s="8"/>
      <c r="R62" s="8"/>
      <c r="S62" s="8"/>
      <c r="T62" s="8"/>
      <c r="U62" s="8"/>
      <c r="V62" s="8"/>
      <c r="W62" s="8"/>
      <c r="X62" s="8"/>
      <c r="Y62" s="8"/>
      <c r="Z62" s="8"/>
    </row>
    <row r="63" spans="1:26" ht="12.75" hidden="1">
      <c r="A63" s="8" t="s">
        <v>18</v>
      </c>
      <c r="B63" s="9">
        <v>45420</v>
      </c>
      <c r="C63" s="8" t="s">
        <v>832</v>
      </c>
      <c r="D63" s="8" t="s">
        <v>33</v>
      </c>
      <c r="E63" s="8">
        <v>4007908123</v>
      </c>
      <c r="F63" s="8">
        <v>7</v>
      </c>
      <c r="G63" s="8">
        <v>7.5</v>
      </c>
      <c r="H63" s="8">
        <v>2.5</v>
      </c>
      <c r="I63" s="8">
        <v>10</v>
      </c>
      <c r="J63" s="8">
        <v>5</v>
      </c>
      <c r="K63" s="8">
        <v>10</v>
      </c>
      <c r="L63" s="8">
        <v>2.5</v>
      </c>
      <c r="M63" s="8"/>
      <c r="N63" s="8"/>
      <c r="O63" s="8"/>
      <c r="P63" s="8"/>
      <c r="Q63" s="8"/>
      <c r="R63" s="8"/>
      <c r="S63" s="8"/>
      <c r="T63" s="8"/>
      <c r="U63" s="8"/>
      <c r="V63" s="8"/>
      <c r="W63" s="8"/>
      <c r="X63" s="8"/>
      <c r="Y63" s="8"/>
      <c r="Z63" s="8"/>
    </row>
    <row r="64" spans="1:26" ht="12.75" hidden="1">
      <c r="A64" s="8" t="s">
        <v>18</v>
      </c>
      <c r="B64" s="9">
        <v>45420</v>
      </c>
      <c r="C64" s="8" t="s">
        <v>833</v>
      </c>
      <c r="D64" s="8" t="s">
        <v>148</v>
      </c>
      <c r="E64" s="8">
        <v>4880069859</v>
      </c>
      <c r="F64" s="8">
        <v>10</v>
      </c>
      <c r="G64" s="8">
        <v>10</v>
      </c>
      <c r="H64" s="8">
        <v>7.5</v>
      </c>
      <c r="I64" s="8">
        <v>10</v>
      </c>
      <c r="J64" s="8">
        <v>7.5</v>
      </c>
      <c r="K64" s="8">
        <v>10</v>
      </c>
      <c r="L64" s="8">
        <v>10</v>
      </c>
      <c r="M64" s="8" t="s">
        <v>834</v>
      </c>
      <c r="N64" s="8" t="s">
        <v>283</v>
      </c>
      <c r="O64" s="8" t="s">
        <v>835</v>
      </c>
      <c r="P64" s="8"/>
      <c r="Q64" s="8"/>
      <c r="R64" s="8"/>
      <c r="S64" s="8"/>
      <c r="T64" s="8"/>
      <c r="U64" s="8"/>
      <c r="V64" s="8"/>
      <c r="W64" s="8"/>
      <c r="X64" s="8"/>
      <c r="Y64" s="8"/>
      <c r="Z64" s="8"/>
    </row>
    <row r="65" spans="1:26" ht="12.75" hidden="1">
      <c r="A65" s="8" t="s">
        <v>18</v>
      </c>
      <c r="B65" s="9">
        <v>45420</v>
      </c>
      <c r="C65" s="8" t="s">
        <v>836</v>
      </c>
      <c r="D65" s="8" t="s">
        <v>45</v>
      </c>
      <c r="E65" s="8">
        <v>4277258122</v>
      </c>
      <c r="F65" s="8">
        <v>10</v>
      </c>
      <c r="G65" s="8">
        <v>10</v>
      </c>
      <c r="H65" s="8">
        <v>7.5</v>
      </c>
      <c r="I65" s="8">
        <v>10</v>
      </c>
      <c r="J65" s="8">
        <v>7.5</v>
      </c>
      <c r="K65" s="8">
        <v>10</v>
      </c>
      <c r="L65" s="8">
        <v>10</v>
      </c>
      <c r="M65" s="8" t="s">
        <v>837</v>
      </c>
      <c r="N65" s="8" t="s">
        <v>838</v>
      </c>
      <c r="O65" s="8"/>
      <c r="P65" s="8"/>
      <c r="Q65" s="8"/>
      <c r="R65" s="8"/>
      <c r="S65" s="8"/>
      <c r="T65" s="8"/>
      <c r="U65" s="8"/>
      <c r="V65" s="8"/>
      <c r="W65" s="8"/>
      <c r="X65" s="8"/>
      <c r="Y65" s="8"/>
      <c r="Z65" s="8"/>
    </row>
    <row r="66" spans="1:26" ht="12.75" hidden="1">
      <c r="A66" s="8" t="s">
        <v>18</v>
      </c>
      <c r="B66" s="9">
        <v>45420</v>
      </c>
      <c r="C66" s="8" t="s">
        <v>839</v>
      </c>
      <c r="D66" s="8" t="s">
        <v>840</v>
      </c>
      <c r="E66" s="8">
        <v>4989360518</v>
      </c>
      <c r="F66" s="8">
        <v>8</v>
      </c>
      <c r="G66" s="8">
        <v>10</v>
      </c>
      <c r="H66" s="8">
        <v>10</v>
      </c>
      <c r="I66" s="8">
        <v>10</v>
      </c>
      <c r="J66" s="8">
        <v>7.5</v>
      </c>
      <c r="K66" s="8">
        <v>7.5</v>
      </c>
      <c r="L66" s="8">
        <v>10</v>
      </c>
      <c r="M66" s="8"/>
      <c r="N66" s="8"/>
      <c r="O66" s="8"/>
      <c r="P66" s="8"/>
      <c r="Q66" s="8"/>
      <c r="R66" s="8"/>
      <c r="S66" s="8"/>
      <c r="T66" s="8"/>
      <c r="U66" s="8"/>
      <c r="V66" s="8"/>
      <c r="W66" s="8"/>
      <c r="X66" s="8"/>
      <c r="Y66" s="8"/>
      <c r="Z66" s="8"/>
    </row>
    <row r="67" spans="1:26" ht="12.75" hidden="1">
      <c r="A67" s="8" t="s">
        <v>18</v>
      </c>
      <c r="B67" s="9">
        <v>45420</v>
      </c>
      <c r="C67" s="8" t="s">
        <v>841</v>
      </c>
      <c r="D67" s="8" t="s">
        <v>45</v>
      </c>
      <c r="E67" s="8">
        <v>4415996266</v>
      </c>
      <c r="F67" s="8">
        <v>9</v>
      </c>
      <c r="G67" s="8">
        <v>10</v>
      </c>
      <c r="H67" s="8">
        <v>10</v>
      </c>
      <c r="I67" s="8">
        <v>10</v>
      </c>
      <c r="J67" s="8">
        <v>7.5</v>
      </c>
      <c r="K67" s="8">
        <v>7.5</v>
      </c>
      <c r="L67" s="8">
        <v>10</v>
      </c>
      <c r="M67" s="8" t="s">
        <v>842</v>
      </c>
      <c r="N67" s="8" t="s">
        <v>843</v>
      </c>
      <c r="O67" s="8"/>
      <c r="P67" s="8"/>
      <c r="Q67" s="8"/>
      <c r="R67" s="8"/>
      <c r="S67" s="8"/>
      <c r="T67" s="8"/>
      <c r="U67" s="8"/>
      <c r="V67" s="8"/>
      <c r="W67" s="8"/>
      <c r="X67" s="8"/>
      <c r="Y67" s="8"/>
      <c r="Z67" s="8"/>
    </row>
    <row r="68" spans="1:26" ht="12.75" hidden="1">
      <c r="A68" s="8" t="s">
        <v>18</v>
      </c>
      <c r="B68" s="9">
        <v>45420</v>
      </c>
      <c r="C68" s="8" t="s">
        <v>844</v>
      </c>
      <c r="D68" s="8" t="s">
        <v>54</v>
      </c>
      <c r="E68" s="8">
        <v>4412681261</v>
      </c>
      <c r="F68" s="8">
        <v>7</v>
      </c>
      <c r="G68" s="8">
        <v>10</v>
      </c>
      <c r="H68" s="8">
        <v>5</v>
      </c>
      <c r="I68" s="8">
        <v>10</v>
      </c>
      <c r="J68" s="8">
        <v>5</v>
      </c>
      <c r="K68" s="8">
        <v>7.5</v>
      </c>
      <c r="L68" s="8">
        <v>5</v>
      </c>
      <c r="M68" s="8" t="s">
        <v>845</v>
      </c>
      <c r="N68" s="8" t="s">
        <v>846</v>
      </c>
      <c r="O68" s="8"/>
      <c r="P68" s="8"/>
      <c r="Q68" s="8"/>
      <c r="R68" s="8"/>
      <c r="S68" s="8"/>
      <c r="T68" s="8"/>
      <c r="U68" s="8"/>
      <c r="V68" s="8"/>
      <c r="W68" s="8"/>
      <c r="X68" s="8"/>
      <c r="Y68" s="8"/>
      <c r="Z68" s="8"/>
    </row>
    <row r="69" spans="1:26" ht="12.75" hidden="1">
      <c r="A69" s="8" t="s">
        <v>18</v>
      </c>
      <c r="B69" s="9">
        <v>45420</v>
      </c>
      <c r="C69" s="8" t="s">
        <v>480</v>
      </c>
      <c r="D69" s="8" t="s">
        <v>847</v>
      </c>
      <c r="E69" s="8">
        <v>4419856614</v>
      </c>
      <c r="F69" s="8">
        <v>7</v>
      </c>
      <c r="G69" s="8">
        <v>7.5</v>
      </c>
      <c r="H69" s="8">
        <v>5</v>
      </c>
      <c r="I69" s="8">
        <v>10</v>
      </c>
      <c r="J69" s="8">
        <v>5</v>
      </c>
      <c r="K69" s="8">
        <v>5</v>
      </c>
      <c r="L69" s="8">
        <v>7.5</v>
      </c>
      <c r="M69" s="8" t="s">
        <v>848</v>
      </c>
      <c r="N69" s="8" t="s">
        <v>849</v>
      </c>
      <c r="O69" s="8" t="s">
        <v>850</v>
      </c>
      <c r="P69" s="8"/>
      <c r="Q69" s="8"/>
      <c r="R69" s="8"/>
      <c r="S69" s="8"/>
      <c r="T69" s="8"/>
      <c r="U69" s="8"/>
      <c r="V69" s="8"/>
      <c r="W69" s="8"/>
      <c r="X69" s="8"/>
      <c r="Y69" s="8"/>
      <c r="Z69" s="8"/>
    </row>
    <row r="70" spans="1:26" ht="12.75" hidden="1">
      <c r="A70" s="8" t="s">
        <v>18</v>
      </c>
      <c r="B70" s="9">
        <v>45420</v>
      </c>
      <c r="C70" s="8" t="s">
        <v>851</v>
      </c>
      <c r="D70" s="8" t="s">
        <v>45</v>
      </c>
      <c r="E70" s="8">
        <v>4196679420</v>
      </c>
      <c r="F70" s="8">
        <v>8</v>
      </c>
      <c r="G70" s="8">
        <v>7.5</v>
      </c>
      <c r="H70" s="8">
        <v>7.5</v>
      </c>
      <c r="I70" s="8">
        <v>10</v>
      </c>
      <c r="J70" s="8">
        <v>5</v>
      </c>
      <c r="K70" s="8">
        <v>7.5</v>
      </c>
      <c r="L70" s="8">
        <v>7.5</v>
      </c>
      <c r="M70" s="8" t="s">
        <v>852</v>
      </c>
      <c r="N70" s="8" t="s">
        <v>853</v>
      </c>
      <c r="O70" s="8" t="s">
        <v>854</v>
      </c>
      <c r="P70" s="8"/>
      <c r="Q70" s="8"/>
      <c r="R70" s="8"/>
      <c r="S70" s="8"/>
      <c r="T70" s="8"/>
      <c r="U70" s="8"/>
      <c r="V70" s="8"/>
      <c r="W70" s="8"/>
      <c r="X70" s="8"/>
      <c r="Y70" s="8"/>
      <c r="Z70" s="8"/>
    </row>
    <row r="71" spans="1:26" ht="12.75" hidden="1">
      <c r="A71" s="8" t="s">
        <v>18</v>
      </c>
      <c r="B71" s="9">
        <v>45421</v>
      </c>
      <c r="C71" s="8" t="s">
        <v>855</v>
      </c>
      <c r="D71" s="8" t="s">
        <v>45</v>
      </c>
      <c r="E71" s="8">
        <v>4487000419</v>
      </c>
      <c r="F71" s="8">
        <v>8</v>
      </c>
      <c r="G71" s="8">
        <v>7.5</v>
      </c>
      <c r="H71" s="8">
        <v>7.5</v>
      </c>
      <c r="I71" s="8">
        <v>10</v>
      </c>
      <c r="J71" s="8">
        <v>5</v>
      </c>
      <c r="K71" s="8">
        <v>7.5</v>
      </c>
      <c r="L71" s="8">
        <v>10</v>
      </c>
      <c r="M71" s="8"/>
      <c r="N71" s="8"/>
      <c r="O71" s="8"/>
      <c r="P71" s="8"/>
      <c r="Q71" s="8"/>
      <c r="R71" s="8"/>
      <c r="S71" s="8"/>
      <c r="T71" s="8"/>
      <c r="U71" s="8"/>
      <c r="V71" s="8"/>
      <c r="W71" s="8"/>
      <c r="X71" s="8"/>
      <c r="Y71" s="8"/>
      <c r="Z71" s="8"/>
    </row>
    <row r="72" spans="1:26" ht="12.75" hidden="1">
      <c r="A72" s="8" t="s">
        <v>18</v>
      </c>
      <c r="B72" s="9">
        <v>45421</v>
      </c>
      <c r="C72" s="8" t="s">
        <v>351</v>
      </c>
      <c r="D72" s="8" t="s">
        <v>36</v>
      </c>
      <c r="E72" s="8">
        <v>4466868472</v>
      </c>
      <c r="F72" s="8">
        <v>10</v>
      </c>
      <c r="G72" s="8">
        <v>10</v>
      </c>
      <c r="H72" s="8">
        <v>7.5</v>
      </c>
      <c r="I72" s="8">
        <v>10</v>
      </c>
      <c r="J72" s="8">
        <v>7.5</v>
      </c>
      <c r="K72" s="8">
        <v>10</v>
      </c>
      <c r="L72" s="8">
        <v>10</v>
      </c>
      <c r="M72" s="8" t="s">
        <v>856</v>
      </c>
      <c r="N72" s="8" t="s">
        <v>857</v>
      </c>
      <c r="O72" s="8"/>
      <c r="P72" s="8"/>
      <c r="Q72" s="8"/>
      <c r="R72" s="8"/>
      <c r="S72" s="8"/>
      <c r="T72" s="8"/>
      <c r="U72" s="8"/>
      <c r="V72" s="8"/>
      <c r="W72" s="8"/>
      <c r="X72" s="8"/>
      <c r="Y72" s="8"/>
      <c r="Z72" s="8"/>
    </row>
    <row r="73" spans="1:26" ht="12.75" hidden="1">
      <c r="A73" s="8" t="s">
        <v>18</v>
      </c>
      <c r="B73" s="9">
        <v>45421</v>
      </c>
      <c r="C73" s="8" t="s">
        <v>478</v>
      </c>
      <c r="D73" s="8" t="s">
        <v>148</v>
      </c>
      <c r="E73" s="8">
        <v>4376104518</v>
      </c>
      <c r="F73" s="8">
        <v>7</v>
      </c>
      <c r="G73" s="8">
        <v>7.5</v>
      </c>
      <c r="H73" s="8">
        <v>7.5</v>
      </c>
      <c r="I73" s="8">
        <v>10</v>
      </c>
      <c r="J73" s="8">
        <v>7.5</v>
      </c>
      <c r="K73" s="8">
        <v>10</v>
      </c>
      <c r="L73" s="8">
        <v>10</v>
      </c>
      <c r="M73" s="8"/>
      <c r="N73" s="8"/>
      <c r="O73" s="8"/>
      <c r="P73" s="8"/>
      <c r="Q73" s="8"/>
      <c r="R73" s="8"/>
      <c r="S73" s="8"/>
      <c r="T73" s="8"/>
      <c r="U73" s="8"/>
      <c r="V73" s="8"/>
      <c r="W73" s="8"/>
      <c r="X73" s="8"/>
      <c r="Y73" s="8"/>
      <c r="Z73" s="8"/>
    </row>
    <row r="74" spans="1:26" ht="12.75" hidden="1">
      <c r="A74" s="8" t="s">
        <v>18</v>
      </c>
      <c r="B74" s="9">
        <v>45421</v>
      </c>
      <c r="C74" s="8" t="s">
        <v>858</v>
      </c>
      <c r="D74" s="8" t="s">
        <v>60</v>
      </c>
      <c r="E74" s="8">
        <v>4023612368</v>
      </c>
      <c r="F74" s="8">
        <v>8</v>
      </c>
      <c r="G74" s="8">
        <v>7.5</v>
      </c>
      <c r="H74" s="8">
        <v>7.5</v>
      </c>
      <c r="I74" s="8">
        <v>10</v>
      </c>
      <c r="J74" s="8">
        <v>10</v>
      </c>
      <c r="K74" s="8">
        <v>7.5</v>
      </c>
      <c r="L74" s="8">
        <v>10</v>
      </c>
      <c r="M74" s="8" t="s">
        <v>859</v>
      </c>
      <c r="N74" s="8" t="s">
        <v>860</v>
      </c>
      <c r="O74" s="8"/>
      <c r="P74" s="8"/>
      <c r="Q74" s="8"/>
      <c r="R74" s="8"/>
      <c r="S74" s="8"/>
      <c r="T74" s="8"/>
      <c r="U74" s="8"/>
      <c r="V74" s="8"/>
      <c r="W74" s="8"/>
      <c r="X74" s="8"/>
      <c r="Y74" s="8"/>
      <c r="Z74" s="8"/>
    </row>
    <row r="75" spans="1:26" ht="12.75" hidden="1">
      <c r="A75" s="8" t="s">
        <v>18</v>
      </c>
      <c r="B75" s="9">
        <v>45421</v>
      </c>
      <c r="C75" s="8" t="s">
        <v>861</v>
      </c>
      <c r="D75" s="8" t="s">
        <v>60</v>
      </c>
      <c r="E75" s="8">
        <v>4729216169</v>
      </c>
      <c r="F75" s="8">
        <v>8</v>
      </c>
      <c r="G75" s="8">
        <v>10</v>
      </c>
      <c r="H75" s="8">
        <v>5</v>
      </c>
      <c r="I75" s="8">
        <v>10</v>
      </c>
      <c r="J75" s="8">
        <v>10</v>
      </c>
      <c r="K75" s="8">
        <v>7.5</v>
      </c>
      <c r="L75" s="8">
        <v>7.5</v>
      </c>
      <c r="M75" s="8"/>
      <c r="N75" s="8"/>
      <c r="O75" s="8"/>
      <c r="P75" s="8"/>
      <c r="Q75" s="8"/>
      <c r="R75" s="8"/>
      <c r="S75" s="8"/>
      <c r="T75" s="8"/>
      <c r="U75" s="8"/>
      <c r="V75" s="8"/>
      <c r="W75" s="8"/>
      <c r="X75" s="8"/>
      <c r="Y75" s="8"/>
      <c r="Z75" s="8"/>
    </row>
    <row r="76" spans="1:26" ht="12.75" hidden="1">
      <c r="A76" s="8" t="s">
        <v>18</v>
      </c>
      <c r="B76" s="9">
        <v>45421</v>
      </c>
      <c r="C76" s="8" t="s">
        <v>862</v>
      </c>
      <c r="D76" s="8" t="s">
        <v>25</v>
      </c>
      <c r="E76" s="8">
        <v>4958179233</v>
      </c>
      <c r="F76" s="8">
        <v>8</v>
      </c>
      <c r="G76" s="8">
        <v>7.5</v>
      </c>
      <c r="H76" s="8">
        <v>7.5</v>
      </c>
      <c r="I76" s="8">
        <v>10</v>
      </c>
      <c r="J76" s="8">
        <v>7.5</v>
      </c>
      <c r="K76" s="8">
        <v>7.5</v>
      </c>
      <c r="L76" s="8">
        <v>7.5</v>
      </c>
      <c r="M76" s="8"/>
      <c r="N76" s="8"/>
      <c r="O76" s="8" t="s">
        <v>34</v>
      </c>
      <c r="P76" s="8"/>
      <c r="Q76" s="8"/>
      <c r="R76" s="8"/>
      <c r="S76" s="8"/>
      <c r="T76" s="8"/>
      <c r="U76" s="8"/>
      <c r="V76" s="8"/>
      <c r="W76" s="8"/>
      <c r="X76" s="8"/>
      <c r="Y76" s="8"/>
      <c r="Z76" s="8"/>
    </row>
    <row r="77" spans="1:26" ht="12.75" hidden="1">
      <c r="A77" s="8" t="s">
        <v>18</v>
      </c>
      <c r="B77" s="9">
        <v>45421</v>
      </c>
      <c r="C77" s="8" t="s">
        <v>863</v>
      </c>
      <c r="D77" s="8" t="s">
        <v>105</v>
      </c>
      <c r="E77" s="8">
        <v>4472340925</v>
      </c>
      <c r="F77" s="8">
        <v>9</v>
      </c>
      <c r="G77" s="8">
        <v>7.5</v>
      </c>
      <c r="H77" s="8">
        <v>10</v>
      </c>
      <c r="I77" s="8">
        <v>10</v>
      </c>
      <c r="J77" s="8">
        <v>10</v>
      </c>
      <c r="K77" s="8">
        <v>7.5</v>
      </c>
      <c r="L77" s="8">
        <v>10</v>
      </c>
      <c r="M77" s="8" t="s">
        <v>864</v>
      </c>
      <c r="N77" s="8" t="s">
        <v>865</v>
      </c>
      <c r="O77" s="8" t="s">
        <v>34</v>
      </c>
      <c r="P77" s="8"/>
      <c r="Q77" s="8"/>
      <c r="R77" s="8"/>
      <c r="S77" s="8"/>
      <c r="T77" s="8"/>
      <c r="U77" s="8"/>
      <c r="V77" s="8"/>
      <c r="W77" s="8"/>
      <c r="X77" s="8"/>
      <c r="Y77" s="8"/>
      <c r="Z77" s="8"/>
    </row>
    <row r="78" spans="1:26" ht="12.75" hidden="1">
      <c r="A78" s="8" t="s">
        <v>18</v>
      </c>
      <c r="B78" s="9">
        <v>45421</v>
      </c>
      <c r="C78" s="8" t="s">
        <v>866</v>
      </c>
      <c r="D78" s="8" t="s">
        <v>75</v>
      </c>
      <c r="E78" s="8">
        <v>4775406998</v>
      </c>
      <c r="F78" s="8">
        <v>7</v>
      </c>
      <c r="G78" s="8">
        <v>7.5</v>
      </c>
      <c r="H78" s="8">
        <v>7.5</v>
      </c>
      <c r="I78" s="8">
        <v>7.5</v>
      </c>
      <c r="J78" s="8">
        <v>7.5</v>
      </c>
      <c r="K78" s="8">
        <v>7.5</v>
      </c>
      <c r="L78" s="8">
        <v>7.5</v>
      </c>
      <c r="M78" s="8"/>
      <c r="N78" s="8"/>
      <c r="O78" s="8"/>
      <c r="P78" s="8"/>
      <c r="Q78" s="8"/>
      <c r="R78" s="8"/>
      <c r="S78" s="8"/>
      <c r="T78" s="8"/>
      <c r="U78" s="8"/>
      <c r="V78" s="8"/>
      <c r="W78" s="8"/>
      <c r="X78" s="8"/>
      <c r="Y78" s="8"/>
      <c r="Z78" s="8"/>
    </row>
    <row r="79" spans="1:26" ht="12.75" hidden="1">
      <c r="A79" s="8" t="s">
        <v>18</v>
      </c>
      <c r="B79" s="9">
        <v>45421</v>
      </c>
      <c r="C79" s="8" t="s">
        <v>867</v>
      </c>
      <c r="D79" s="8" t="s">
        <v>148</v>
      </c>
      <c r="E79" s="8">
        <v>4407027602</v>
      </c>
      <c r="F79" s="8">
        <v>7</v>
      </c>
      <c r="G79" s="8">
        <v>10</v>
      </c>
      <c r="H79" s="8">
        <v>7.5</v>
      </c>
      <c r="I79" s="8">
        <v>10</v>
      </c>
      <c r="J79" s="8">
        <v>7.5</v>
      </c>
      <c r="K79" s="8">
        <v>7.5</v>
      </c>
      <c r="L79" s="8">
        <v>7.5</v>
      </c>
      <c r="M79" s="8" t="s">
        <v>868</v>
      </c>
      <c r="N79" s="8"/>
      <c r="O79" s="8"/>
      <c r="P79" s="8"/>
      <c r="Q79" s="8"/>
      <c r="R79" s="8"/>
      <c r="S79" s="8"/>
      <c r="T79" s="8"/>
      <c r="U79" s="8"/>
      <c r="V79" s="8"/>
      <c r="W79" s="8"/>
      <c r="X79" s="8"/>
      <c r="Y79" s="8"/>
      <c r="Z79" s="8"/>
    </row>
    <row r="80" spans="1:26" ht="12.75" hidden="1">
      <c r="A80" s="8" t="s">
        <v>18</v>
      </c>
      <c r="B80" s="9">
        <v>45421</v>
      </c>
      <c r="C80" s="8" t="s">
        <v>869</v>
      </c>
      <c r="D80" s="8" t="s">
        <v>28</v>
      </c>
      <c r="E80" s="8">
        <v>4444267023</v>
      </c>
      <c r="F80" s="8">
        <v>9</v>
      </c>
      <c r="G80" s="8">
        <v>10</v>
      </c>
      <c r="H80" s="8">
        <v>10</v>
      </c>
      <c r="I80" s="8">
        <v>10</v>
      </c>
      <c r="J80" s="8">
        <v>7.5</v>
      </c>
      <c r="K80" s="8">
        <v>7.5</v>
      </c>
      <c r="L80" s="8">
        <v>10</v>
      </c>
      <c r="M80" s="8"/>
      <c r="N80" s="8"/>
      <c r="O80" s="8"/>
      <c r="P80" s="8"/>
      <c r="Q80" s="8"/>
      <c r="R80" s="8"/>
      <c r="S80" s="8"/>
      <c r="T80" s="8"/>
      <c r="U80" s="8"/>
      <c r="V80" s="8"/>
      <c r="W80" s="8"/>
      <c r="X80" s="8"/>
      <c r="Y80" s="8"/>
      <c r="Z80" s="8"/>
    </row>
    <row r="81" spans="1:26" ht="12.75" hidden="1">
      <c r="A81" s="8" t="s">
        <v>18</v>
      </c>
      <c r="B81" s="9">
        <v>45422</v>
      </c>
      <c r="C81" s="8" t="s">
        <v>870</v>
      </c>
      <c r="D81" s="8" t="s">
        <v>431</v>
      </c>
      <c r="E81" s="8">
        <v>4758032439</v>
      </c>
      <c r="F81" s="8">
        <v>7</v>
      </c>
      <c r="G81" s="8">
        <v>10</v>
      </c>
      <c r="H81" s="8">
        <v>7.5</v>
      </c>
      <c r="I81" s="8">
        <v>10</v>
      </c>
      <c r="J81" s="8">
        <v>7.5</v>
      </c>
      <c r="K81" s="8">
        <v>7.5</v>
      </c>
      <c r="L81" s="8">
        <v>10</v>
      </c>
      <c r="M81" s="8"/>
      <c r="N81" s="8"/>
      <c r="O81" s="8"/>
      <c r="P81" s="8"/>
      <c r="Q81" s="8"/>
      <c r="R81" s="8"/>
      <c r="S81" s="8"/>
      <c r="T81" s="8"/>
      <c r="U81" s="8"/>
      <c r="V81" s="8"/>
      <c r="W81" s="8"/>
      <c r="X81" s="8"/>
      <c r="Y81" s="8"/>
      <c r="Z81" s="8"/>
    </row>
    <row r="82" spans="1:26" ht="12.75" hidden="1">
      <c r="A82" s="8" t="s">
        <v>18</v>
      </c>
      <c r="B82" s="9">
        <v>45422</v>
      </c>
      <c r="C82" s="8" t="s">
        <v>871</v>
      </c>
      <c r="D82" s="8" t="s">
        <v>416</v>
      </c>
      <c r="E82" s="8">
        <v>4543407631</v>
      </c>
      <c r="F82" s="8">
        <v>10</v>
      </c>
      <c r="G82" s="8">
        <v>10</v>
      </c>
      <c r="H82" s="8">
        <v>10</v>
      </c>
      <c r="I82" s="8">
        <v>10</v>
      </c>
      <c r="J82" s="8">
        <v>10</v>
      </c>
      <c r="K82" s="8">
        <v>10</v>
      </c>
      <c r="L82" s="8">
        <v>10</v>
      </c>
      <c r="M82" s="8"/>
      <c r="N82" s="8"/>
      <c r="O82" s="8"/>
      <c r="P82" s="8"/>
      <c r="Q82" s="8"/>
      <c r="R82" s="8"/>
      <c r="S82" s="8"/>
      <c r="T82" s="8"/>
      <c r="U82" s="8"/>
      <c r="V82" s="8"/>
      <c r="W82" s="8"/>
      <c r="X82" s="8"/>
      <c r="Y82" s="8"/>
      <c r="Z82" s="8"/>
    </row>
    <row r="83" spans="1:26" ht="12.75" hidden="1">
      <c r="A83" s="8" t="s">
        <v>18</v>
      </c>
      <c r="B83" s="9">
        <v>45423</v>
      </c>
      <c r="C83" s="8" t="s">
        <v>872</v>
      </c>
      <c r="D83" s="8" t="s">
        <v>54</v>
      </c>
      <c r="E83" s="8">
        <v>4580193952</v>
      </c>
      <c r="F83" s="8">
        <v>8</v>
      </c>
      <c r="G83" s="8">
        <v>10</v>
      </c>
      <c r="H83" s="8">
        <v>7.5</v>
      </c>
      <c r="I83" s="8">
        <v>10</v>
      </c>
      <c r="J83" s="8">
        <v>10</v>
      </c>
      <c r="K83" s="8">
        <v>10</v>
      </c>
      <c r="L83" s="8">
        <v>10</v>
      </c>
      <c r="M83" s="8"/>
      <c r="N83" s="8"/>
      <c r="O83" s="8" t="s">
        <v>617</v>
      </c>
      <c r="P83" s="8"/>
      <c r="Q83" s="8"/>
      <c r="R83" s="8"/>
      <c r="S83" s="8"/>
      <c r="T83" s="8"/>
      <c r="U83" s="8"/>
      <c r="V83" s="8"/>
      <c r="W83" s="8"/>
      <c r="X83" s="8"/>
      <c r="Y83" s="8"/>
      <c r="Z83" s="8"/>
    </row>
    <row r="84" spans="1:26" ht="12.75" hidden="1">
      <c r="A84" s="8" t="s">
        <v>18</v>
      </c>
      <c r="B84" s="9">
        <v>45423</v>
      </c>
      <c r="C84" s="8" t="s">
        <v>873</v>
      </c>
      <c r="D84" s="8" t="s">
        <v>171</v>
      </c>
      <c r="E84" s="8">
        <v>4765728455</v>
      </c>
      <c r="F84" s="8">
        <v>8</v>
      </c>
      <c r="G84" s="8">
        <v>7.5</v>
      </c>
      <c r="H84" s="8">
        <v>7.5</v>
      </c>
      <c r="I84" s="8">
        <v>10</v>
      </c>
      <c r="J84" s="8">
        <v>5</v>
      </c>
      <c r="K84" s="8">
        <v>7.5</v>
      </c>
      <c r="L84" s="8">
        <v>7.5</v>
      </c>
      <c r="M84" s="8"/>
      <c r="N84" s="8" t="s">
        <v>874</v>
      </c>
      <c r="O84" s="8"/>
      <c r="P84" s="8"/>
      <c r="Q84" s="8"/>
      <c r="R84" s="8"/>
      <c r="S84" s="8"/>
      <c r="T84" s="8"/>
      <c r="U84" s="8"/>
      <c r="V84" s="8"/>
      <c r="W84" s="8"/>
      <c r="X84" s="8"/>
      <c r="Y84" s="8"/>
      <c r="Z84" s="8"/>
    </row>
    <row r="85" spans="1:26" ht="12.75" hidden="1">
      <c r="A85" s="8" t="s">
        <v>18</v>
      </c>
      <c r="B85" s="9">
        <v>45423</v>
      </c>
      <c r="C85" s="8" t="s">
        <v>875</v>
      </c>
      <c r="D85" s="8" t="s">
        <v>38</v>
      </c>
      <c r="E85" s="8">
        <v>4362012692</v>
      </c>
      <c r="F85" s="8">
        <v>10</v>
      </c>
      <c r="G85" s="8">
        <v>7.5</v>
      </c>
      <c r="H85" s="8">
        <v>10</v>
      </c>
      <c r="I85" s="8">
        <v>10</v>
      </c>
      <c r="J85" s="8">
        <v>10</v>
      </c>
      <c r="K85" s="8">
        <v>10</v>
      </c>
      <c r="L85" s="8">
        <v>10</v>
      </c>
      <c r="M85" s="8" t="s">
        <v>876</v>
      </c>
      <c r="N85" s="8"/>
      <c r="O85" s="8" t="s">
        <v>56</v>
      </c>
      <c r="P85" s="8"/>
      <c r="Q85" s="8"/>
      <c r="R85" s="8"/>
      <c r="S85" s="8"/>
      <c r="T85" s="8"/>
      <c r="U85" s="8"/>
      <c r="V85" s="8"/>
      <c r="W85" s="8"/>
      <c r="X85" s="8"/>
      <c r="Y85" s="8"/>
      <c r="Z85" s="8"/>
    </row>
    <row r="86" spans="1:26" ht="12.75" hidden="1">
      <c r="A86" s="8" t="s">
        <v>18</v>
      </c>
      <c r="B86" s="9">
        <v>45423</v>
      </c>
      <c r="C86" s="8" t="s">
        <v>877</v>
      </c>
      <c r="D86" s="8" t="s">
        <v>105</v>
      </c>
      <c r="E86" s="8">
        <v>4250458623</v>
      </c>
      <c r="F86" s="8">
        <v>5</v>
      </c>
      <c r="G86" s="8">
        <v>5</v>
      </c>
      <c r="H86" s="8">
        <v>2.5</v>
      </c>
      <c r="I86" s="8">
        <v>10</v>
      </c>
      <c r="J86" s="8">
        <v>5</v>
      </c>
      <c r="K86" s="8">
        <v>7.5</v>
      </c>
      <c r="L86" s="8">
        <v>2.5</v>
      </c>
      <c r="M86" s="8"/>
      <c r="N86" s="8"/>
      <c r="O86" s="8"/>
      <c r="P86" s="8"/>
      <c r="Q86" s="8"/>
      <c r="R86" s="8"/>
      <c r="S86" s="8"/>
      <c r="T86" s="8"/>
      <c r="U86" s="8"/>
      <c r="V86" s="8"/>
      <c r="W86" s="8"/>
      <c r="X86" s="8"/>
      <c r="Y86" s="8"/>
      <c r="Z86" s="8"/>
    </row>
    <row r="87" spans="1:26" ht="12.75" hidden="1">
      <c r="A87" s="8" t="s">
        <v>18</v>
      </c>
      <c r="B87" s="9">
        <v>45423</v>
      </c>
      <c r="C87" s="8" t="s">
        <v>158</v>
      </c>
      <c r="D87" s="8" t="s">
        <v>45</v>
      </c>
      <c r="E87" s="8">
        <v>4748977587</v>
      </c>
      <c r="F87" s="8">
        <v>7</v>
      </c>
      <c r="G87" s="8">
        <v>10</v>
      </c>
      <c r="H87" s="8">
        <v>10</v>
      </c>
      <c r="I87" s="8">
        <v>10</v>
      </c>
      <c r="J87" s="8">
        <v>7.5</v>
      </c>
      <c r="K87" s="8">
        <v>10</v>
      </c>
      <c r="L87" s="8">
        <v>10</v>
      </c>
      <c r="M87" s="8"/>
      <c r="N87" s="8"/>
      <c r="O87" s="8" t="s">
        <v>56</v>
      </c>
      <c r="P87" s="8"/>
      <c r="Q87" s="8"/>
      <c r="R87" s="8"/>
      <c r="S87" s="8"/>
      <c r="T87" s="8"/>
      <c r="U87" s="8"/>
      <c r="V87" s="8"/>
      <c r="W87" s="8"/>
      <c r="X87" s="8"/>
      <c r="Y87" s="8"/>
      <c r="Z87" s="8"/>
    </row>
    <row r="88" spans="1:26" ht="12.75" hidden="1">
      <c r="A88" s="8" t="s">
        <v>18</v>
      </c>
      <c r="B88" s="9">
        <v>45423</v>
      </c>
      <c r="C88" s="8" t="s">
        <v>878</v>
      </c>
      <c r="D88" s="8" t="s">
        <v>45</v>
      </c>
      <c r="E88" s="8">
        <v>4944767085</v>
      </c>
      <c r="F88" s="8">
        <v>9</v>
      </c>
      <c r="G88" s="8">
        <v>10</v>
      </c>
      <c r="H88" s="8">
        <v>10</v>
      </c>
      <c r="I88" s="8">
        <v>10</v>
      </c>
      <c r="J88" s="8">
        <v>7.5</v>
      </c>
      <c r="K88" s="8">
        <v>10</v>
      </c>
      <c r="L88" s="8">
        <v>10</v>
      </c>
      <c r="M88" s="8"/>
      <c r="N88" s="8"/>
      <c r="O88" s="8"/>
      <c r="P88" s="8"/>
      <c r="Q88" s="8"/>
      <c r="R88" s="8"/>
      <c r="S88" s="8"/>
      <c r="T88" s="8"/>
      <c r="U88" s="8"/>
      <c r="V88" s="8"/>
      <c r="W88" s="8"/>
      <c r="X88" s="8"/>
      <c r="Y88" s="8"/>
      <c r="Z88" s="8"/>
    </row>
    <row r="89" spans="1:26" ht="12.75" hidden="1">
      <c r="A89" s="8" t="s">
        <v>18</v>
      </c>
      <c r="B89" s="9">
        <v>45423</v>
      </c>
      <c r="C89" s="8" t="s">
        <v>879</v>
      </c>
      <c r="D89" s="8" t="s">
        <v>25</v>
      </c>
      <c r="E89" s="8">
        <v>4446424882</v>
      </c>
      <c r="F89" s="8">
        <v>5</v>
      </c>
      <c r="G89" s="8">
        <v>7.5</v>
      </c>
      <c r="H89" s="8">
        <v>2.5</v>
      </c>
      <c r="I89" s="8">
        <v>10</v>
      </c>
      <c r="J89" s="8">
        <v>5</v>
      </c>
      <c r="K89" s="8">
        <v>10</v>
      </c>
      <c r="L89" s="8">
        <v>5</v>
      </c>
      <c r="M89" s="8"/>
      <c r="N89" s="8"/>
      <c r="O89" s="8"/>
      <c r="P89" s="8"/>
      <c r="Q89" s="8"/>
      <c r="R89" s="8"/>
      <c r="S89" s="8"/>
      <c r="T89" s="8"/>
      <c r="U89" s="8"/>
      <c r="V89" s="8"/>
      <c r="W89" s="8"/>
      <c r="X89" s="8"/>
      <c r="Y89" s="8"/>
      <c r="Z89" s="8"/>
    </row>
    <row r="90" spans="1:26" ht="12.75" hidden="1">
      <c r="A90" s="8" t="s">
        <v>18</v>
      </c>
      <c r="B90" s="9">
        <v>45423</v>
      </c>
      <c r="C90" s="8" t="s">
        <v>880</v>
      </c>
      <c r="D90" s="8" t="s">
        <v>881</v>
      </c>
      <c r="E90" s="8">
        <v>4508282012</v>
      </c>
      <c r="F90" s="8">
        <v>4</v>
      </c>
      <c r="G90" s="8">
        <v>7.5</v>
      </c>
      <c r="H90" s="8">
        <v>5</v>
      </c>
      <c r="I90" s="8">
        <v>10</v>
      </c>
      <c r="J90" s="8">
        <v>2.5</v>
      </c>
      <c r="K90" s="8">
        <v>2.5</v>
      </c>
      <c r="L90" s="8">
        <v>2.5</v>
      </c>
      <c r="M90" s="8" t="s">
        <v>882</v>
      </c>
      <c r="N90" s="8" t="s">
        <v>883</v>
      </c>
      <c r="O90" s="8" t="s">
        <v>596</v>
      </c>
      <c r="P90" s="8"/>
      <c r="Q90" s="8"/>
      <c r="R90" s="8"/>
      <c r="S90" s="8"/>
      <c r="T90" s="8"/>
      <c r="U90" s="8"/>
      <c r="V90" s="8"/>
      <c r="W90" s="8"/>
      <c r="X90" s="8"/>
      <c r="Y90" s="8"/>
      <c r="Z90" s="8"/>
    </row>
    <row r="91" spans="1:26" ht="12.75" hidden="1">
      <c r="A91" s="8" t="s">
        <v>18</v>
      </c>
      <c r="B91" s="9">
        <v>45424</v>
      </c>
      <c r="C91" s="8" t="s">
        <v>884</v>
      </c>
      <c r="D91" s="8" t="s">
        <v>195</v>
      </c>
      <c r="E91" s="8">
        <v>4742337527</v>
      </c>
      <c r="F91" s="8">
        <v>6</v>
      </c>
      <c r="G91" s="8">
        <v>10</v>
      </c>
      <c r="H91" s="8">
        <v>7.5</v>
      </c>
      <c r="I91" s="8">
        <v>10</v>
      </c>
      <c r="J91" s="8">
        <v>7.5</v>
      </c>
      <c r="K91" s="8">
        <v>7.5</v>
      </c>
      <c r="L91" s="8">
        <v>10</v>
      </c>
      <c r="M91" s="8"/>
      <c r="N91" s="8"/>
      <c r="O91" s="8"/>
      <c r="P91" s="8"/>
      <c r="Q91" s="8"/>
      <c r="R91" s="8"/>
      <c r="S91" s="8"/>
      <c r="T91" s="8"/>
      <c r="U91" s="8"/>
      <c r="V91" s="8"/>
      <c r="W91" s="8"/>
      <c r="X91" s="8"/>
      <c r="Y91" s="8"/>
      <c r="Z91" s="8"/>
    </row>
    <row r="92" spans="1:26" ht="12.75" hidden="1">
      <c r="A92" s="8" t="s">
        <v>18</v>
      </c>
      <c r="B92" s="9">
        <v>45424</v>
      </c>
      <c r="C92" s="8" t="s">
        <v>885</v>
      </c>
      <c r="D92" s="8" t="s">
        <v>105</v>
      </c>
      <c r="E92" s="8">
        <v>4834492403</v>
      </c>
      <c r="F92" s="8">
        <v>6</v>
      </c>
      <c r="G92" s="8">
        <v>10</v>
      </c>
      <c r="H92" s="8">
        <v>7.5</v>
      </c>
      <c r="I92" s="8">
        <v>10</v>
      </c>
      <c r="J92" s="8">
        <v>7.5</v>
      </c>
      <c r="K92" s="8">
        <v>10</v>
      </c>
      <c r="L92" s="8">
        <v>7.5</v>
      </c>
      <c r="M92" s="8"/>
      <c r="N92" s="8"/>
      <c r="O92" s="8"/>
      <c r="P92" s="8"/>
      <c r="Q92" s="8"/>
      <c r="R92" s="8"/>
      <c r="S92" s="8"/>
      <c r="T92" s="8"/>
      <c r="U92" s="8"/>
      <c r="V92" s="8"/>
      <c r="W92" s="8"/>
      <c r="X92" s="8"/>
      <c r="Y92" s="8"/>
      <c r="Z92" s="8"/>
    </row>
    <row r="93" spans="1:26" ht="12.75" hidden="1">
      <c r="A93" s="8" t="s">
        <v>18</v>
      </c>
      <c r="B93" s="9">
        <v>45424</v>
      </c>
      <c r="C93" s="8" t="s">
        <v>886</v>
      </c>
      <c r="D93" s="8" t="s">
        <v>847</v>
      </c>
      <c r="E93" s="8">
        <v>4570037718</v>
      </c>
      <c r="F93" s="8">
        <v>8</v>
      </c>
      <c r="G93" s="8">
        <v>7.5</v>
      </c>
      <c r="H93" s="8">
        <v>7.5</v>
      </c>
      <c r="I93" s="8">
        <v>7.5</v>
      </c>
      <c r="J93" s="8">
        <v>7.5</v>
      </c>
      <c r="K93" s="8">
        <v>7.5</v>
      </c>
      <c r="L93" s="8">
        <v>7.5</v>
      </c>
      <c r="M93" s="8"/>
      <c r="N93" s="8"/>
      <c r="O93" s="8"/>
      <c r="P93" s="8"/>
      <c r="Q93" s="8"/>
      <c r="R93" s="8"/>
      <c r="S93" s="8"/>
      <c r="T93" s="8"/>
      <c r="U93" s="8"/>
      <c r="V93" s="8"/>
      <c r="W93" s="8"/>
      <c r="X93" s="8"/>
      <c r="Y93" s="8"/>
      <c r="Z93" s="8"/>
    </row>
    <row r="94" spans="1:26" ht="12.75" hidden="1">
      <c r="A94" s="37" t="s">
        <v>18</v>
      </c>
      <c r="B94" s="38">
        <v>45424</v>
      </c>
      <c r="C94" s="37" t="s">
        <v>887</v>
      </c>
      <c r="D94" s="37" t="s">
        <v>85</v>
      </c>
      <c r="E94" s="37">
        <v>4360932858</v>
      </c>
      <c r="F94" s="37">
        <v>5</v>
      </c>
      <c r="G94" s="37">
        <v>7.5</v>
      </c>
      <c r="H94" s="37">
        <v>5</v>
      </c>
      <c r="I94" s="37">
        <v>10</v>
      </c>
      <c r="J94" s="37">
        <v>7.5</v>
      </c>
      <c r="K94" s="37">
        <v>5</v>
      </c>
      <c r="L94" s="37">
        <v>7.5</v>
      </c>
      <c r="M94" s="37" t="s">
        <v>888</v>
      </c>
      <c r="N94" s="37" t="s">
        <v>889</v>
      </c>
      <c r="O94" s="37"/>
      <c r="P94" s="8"/>
      <c r="Q94" s="8"/>
      <c r="R94" s="8"/>
      <c r="S94" s="8"/>
      <c r="T94" s="8"/>
      <c r="U94" s="8"/>
      <c r="V94" s="8"/>
      <c r="W94" s="8"/>
      <c r="X94" s="8"/>
      <c r="Y94" s="8"/>
      <c r="Z94" s="8"/>
    </row>
    <row r="95" spans="1:26" ht="12.75" hidden="1">
      <c r="A95" s="8" t="s">
        <v>18</v>
      </c>
      <c r="B95" s="9">
        <v>45424</v>
      </c>
      <c r="C95" s="8" t="s">
        <v>890</v>
      </c>
      <c r="D95" s="8" t="s">
        <v>58</v>
      </c>
      <c r="E95" s="8">
        <v>4584064258</v>
      </c>
      <c r="F95" s="8">
        <v>6</v>
      </c>
      <c r="G95" s="8">
        <v>10</v>
      </c>
      <c r="H95" s="8">
        <v>10</v>
      </c>
      <c r="I95" s="8">
        <v>10</v>
      </c>
      <c r="J95" s="8">
        <v>5</v>
      </c>
      <c r="K95" s="8">
        <v>5</v>
      </c>
      <c r="L95" s="8">
        <v>10</v>
      </c>
      <c r="M95" s="8" t="s">
        <v>891</v>
      </c>
      <c r="N95" s="8" t="s">
        <v>892</v>
      </c>
      <c r="O95" s="8"/>
      <c r="P95" s="8"/>
      <c r="Q95" s="8"/>
      <c r="R95" s="8"/>
      <c r="S95" s="8"/>
      <c r="T95" s="8"/>
      <c r="U95" s="8"/>
      <c r="V95" s="8"/>
      <c r="W95" s="8"/>
      <c r="X95" s="8"/>
      <c r="Y95" s="8"/>
      <c r="Z95" s="8"/>
    </row>
    <row r="96" spans="1:26" ht="12.75" hidden="1">
      <c r="A96" s="8" t="s">
        <v>18</v>
      </c>
      <c r="B96" s="9">
        <v>45424</v>
      </c>
      <c r="C96" s="8" t="s">
        <v>460</v>
      </c>
      <c r="D96" s="8" t="s">
        <v>608</v>
      </c>
      <c r="E96" s="8">
        <v>4666656748</v>
      </c>
      <c r="F96" s="8">
        <v>9</v>
      </c>
      <c r="G96" s="8">
        <v>5</v>
      </c>
      <c r="H96" s="8">
        <v>7.5</v>
      </c>
      <c r="I96" s="8">
        <v>10</v>
      </c>
      <c r="J96" s="8">
        <v>5</v>
      </c>
      <c r="K96" s="8">
        <v>7.5</v>
      </c>
      <c r="L96" s="8">
        <v>7.5</v>
      </c>
      <c r="M96" s="8" t="s">
        <v>893</v>
      </c>
      <c r="N96" s="8" t="s">
        <v>894</v>
      </c>
      <c r="O96" s="8"/>
      <c r="P96" s="8"/>
      <c r="Q96" s="8"/>
      <c r="R96" s="8"/>
      <c r="S96" s="8"/>
      <c r="T96" s="8"/>
      <c r="U96" s="8"/>
      <c r="V96" s="8"/>
      <c r="W96" s="8"/>
      <c r="X96" s="8"/>
      <c r="Y96" s="8"/>
      <c r="Z96" s="8"/>
    </row>
    <row r="97" spans="1:26" ht="12.75" hidden="1">
      <c r="A97" s="8" t="s">
        <v>18</v>
      </c>
      <c r="B97" s="9">
        <v>45425</v>
      </c>
      <c r="C97" s="8" t="s">
        <v>895</v>
      </c>
      <c r="D97" s="8" t="s">
        <v>54</v>
      </c>
      <c r="E97" s="8">
        <v>4072438340</v>
      </c>
      <c r="F97" s="8">
        <v>9</v>
      </c>
      <c r="G97" s="8">
        <v>10</v>
      </c>
      <c r="H97" s="8">
        <v>7.5</v>
      </c>
      <c r="I97" s="8">
        <v>10</v>
      </c>
      <c r="J97" s="8">
        <v>10</v>
      </c>
      <c r="K97" s="8">
        <v>7.5</v>
      </c>
      <c r="L97" s="8">
        <v>10</v>
      </c>
      <c r="M97" s="8" t="s">
        <v>896</v>
      </c>
      <c r="N97" s="8"/>
      <c r="O97" s="8"/>
      <c r="P97" s="8"/>
      <c r="Q97" s="8"/>
      <c r="R97" s="8"/>
      <c r="S97" s="8"/>
      <c r="T97" s="8"/>
      <c r="U97" s="8"/>
      <c r="V97" s="8"/>
      <c r="W97" s="8"/>
      <c r="X97" s="8"/>
      <c r="Y97" s="8"/>
      <c r="Z97" s="8"/>
    </row>
    <row r="98" spans="1:26" ht="12.75" hidden="1">
      <c r="A98" s="8" t="s">
        <v>18</v>
      </c>
      <c r="B98" s="9">
        <v>45425</v>
      </c>
      <c r="C98" s="8" t="s">
        <v>897</v>
      </c>
      <c r="D98" s="8" t="s">
        <v>847</v>
      </c>
      <c r="E98" s="8">
        <v>4007733317</v>
      </c>
      <c r="F98" s="8">
        <v>6</v>
      </c>
      <c r="G98" s="8">
        <v>10</v>
      </c>
      <c r="H98" s="8">
        <v>5</v>
      </c>
      <c r="I98" s="8">
        <v>10</v>
      </c>
      <c r="J98" s="8">
        <v>7.5</v>
      </c>
      <c r="K98" s="8">
        <v>5</v>
      </c>
      <c r="L98" s="8">
        <v>7.5</v>
      </c>
      <c r="M98" s="8" t="s">
        <v>898</v>
      </c>
      <c r="N98" s="8" t="s">
        <v>899</v>
      </c>
      <c r="O98" s="8"/>
      <c r="P98" s="8"/>
      <c r="Q98" s="8"/>
      <c r="R98" s="8"/>
      <c r="S98" s="8"/>
      <c r="T98" s="8"/>
      <c r="U98" s="8"/>
      <c r="V98" s="8"/>
      <c r="W98" s="8"/>
      <c r="X98" s="8"/>
      <c r="Y98" s="8"/>
      <c r="Z98" s="8"/>
    </row>
    <row r="99" spans="1:26" ht="12.75" hidden="1">
      <c r="A99" s="8" t="s">
        <v>18</v>
      </c>
      <c r="B99" s="9">
        <v>45425</v>
      </c>
      <c r="C99" s="8" t="s">
        <v>900</v>
      </c>
      <c r="D99" s="8" t="s">
        <v>54</v>
      </c>
      <c r="E99" s="8">
        <v>4060614042</v>
      </c>
      <c r="F99" s="8">
        <v>8</v>
      </c>
      <c r="G99" s="8">
        <v>7.5</v>
      </c>
      <c r="H99" s="8">
        <v>5</v>
      </c>
      <c r="I99" s="8">
        <v>10</v>
      </c>
      <c r="J99" s="8">
        <v>7.5</v>
      </c>
      <c r="K99" s="8">
        <v>5</v>
      </c>
      <c r="L99" s="8">
        <v>10</v>
      </c>
      <c r="M99" s="8" t="s">
        <v>901</v>
      </c>
      <c r="N99" s="8" t="s">
        <v>902</v>
      </c>
      <c r="O99" s="8"/>
      <c r="P99" s="8"/>
      <c r="Q99" s="8"/>
      <c r="R99" s="8"/>
      <c r="S99" s="8"/>
      <c r="T99" s="8"/>
      <c r="U99" s="8"/>
      <c r="V99" s="8"/>
      <c r="W99" s="8"/>
      <c r="X99" s="8"/>
      <c r="Y99" s="8"/>
      <c r="Z99" s="8"/>
    </row>
    <row r="100" spans="1:26" ht="12.75" hidden="1">
      <c r="A100" s="8" t="s">
        <v>18</v>
      </c>
      <c r="B100" s="9">
        <v>45425</v>
      </c>
      <c r="C100" s="8" t="s">
        <v>903</v>
      </c>
      <c r="D100" s="8" t="s">
        <v>60</v>
      </c>
      <c r="E100" s="8">
        <v>4133896016</v>
      </c>
      <c r="F100" s="8">
        <v>8</v>
      </c>
      <c r="G100" s="8">
        <v>7.5</v>
      </c>
      <c r="H100" s="8">
        <v>7.5</v>
      </c>
      <c r="I100" s="8">
        <v>10</v>
      </c>
      <c r="J100" s="8">
        <v>5</v>
      </c>
      <c r="K100" s="8">
        <v>7.5</v>
      </c>
      <c r="L100" s="8">
        <v>7.5</v>
      </c>
      <c r="M100" s="8" t="s">
        <v>904</v>
      </c>
      <c r="N100" s="8" t="s">
        <v>905</v>
      </c>
      <c r="O100" s="8"/>
      <c r="P100" s="8"/>
      <c r="Q100" s="8"/>
      <c r="R100" s="8"/>
      <c r="S100" s="8"/>
      <c r="T100" s="8"/>
      <c r="U100" s="8"/>
      <c r="V100" s="8"/>
      <c r="W100" s="8"/>
      <c r="X100" s="8"/>
      <c r="Y100" s="8"/>
      <c r="Z100" s="8"/>
    </row>
    <row r="101" spans="1:26" ht="12.75" hidden="1">
      <c r="A101" s="8" t="s">
        <v>18</v>
      </c>
      <c r="B101" s="9">
        <v>45425</v>
      </c>
      <c r="C101" s="8" t="s">
        <v>262</v>
      </c>
      <c r="D101" s="8" t="s">
        <v>28</v>
      </c>
      <c r="E101" s="8">
        <v>4572966457</v>
      </c>
      <c r="F101" s="8">
        <v>5</v>
      </c>
      <c r="G101" s="8">
        <v>10</v>
      </c>
      <c r="H101" s="8">
        <v>7.5</v>
      </c>
      <c r="I101" s="8">
        <v>10</v>
      </c>
      <c r="J101" s="8">
        <v>5</v>
      </c>
      <c r="K101" s="8">
        <v>5</v>
      </c>
      <c r="L101" s="8">
        <v>5</v>
      </c>
      <c r="M101" s="8" t="s">
        <v>906</v>
      </c>
      <c r="N101" s="8" t="s">
        <v>907</v>
      </c>
      <c r="O101" s="8"/>
      <c r="P101" s="8"/>
      <c r="Q101" s="8"/>
      <c r="R101" s="8"/>
      <c r="S101" s="8"/>
      <c r="T101" s="8"/>
      <c r="U101" s="8"/>
      <c r="V101" s="8"/>
      <c r="W101" s="8"/>
      <c r="X101" s="8"/>
      <c r="Y101" s="8"/>
      <c r="Z101" s="8"/>
    </row>
    <row r="102" spans="1:26" ht="12.75" hidden="1">
      <c r="A102" s="8" t="s">
        <v>18</v>
      </c>
      <c r="B102" s="9">
        <v>45425</v>
      </c>
      <c r="C102" s="8" t="s">
        <v>908</v>
      </c>
      <c r="D102" s="8" t="s">
        <v>259</v>
      </c>
      <c r="E102" s="8">
        <v>4151128992</v>
      </c>
      <c r="F102" s="8">
        <v>8</v>
      </c>
      <c r="G102" s="8">
        <v>10</v>
      </c>
      <c r="H102" s="8">
        <v>7.5</v>
      </c>
      <c r="I102" s="8">
        <v>10</v>
      </c>
      <c r="J102" s="8">
        <v>5</v>
      </c>
      <c r="K102" s="8">
        <v>7.5</v>
      </c>
      <c r="L102" s="8">
        <v>7.5</v>
      </c>
      <c r="M102" s="8" t="s">
        <v>909</v>
      </c>
      <c r="N102" s="8" t="s">
        <v>910</v>
      </c>
      <c r="O102" s="8"/>
      <c r="P102" s="8"/>
      <c r="Q102" s="8"/>
      <c r="R102" s="8"/>
      <c r="S102" s="8"/>
      <c r="T102" s="8"/>
      <c r="U102" s="8"/>
      <c r="V102" s="8"/>
      <c r="W102" s="8"/>
      <c r="X102" s="8"/>
      <c r="Y102" s="8"/>
      <c r="Z102" s="8"/>
    </row>
    <row r="103" spans="1:26" ht="12.75" hidden="1">
      <c r="A103" s="8" t="s">
        <v>18</v>
      </c>
      <c r="B103" s="9">
        <v>45425</v>
      </c>
      <c r="C103" s="8" t="s">
        <v>911</v>
      </c>
      <c r="D103" s="8" t="s">
        <v>54</v>
      </c>
      <c r="E103" s="8">
        <v>4682529699</v>
      </c>
      <c r="F103" s="8">
        <v>7</v>
      </c>
      <c r="G103" s="8">
        <v>10</v>
      </c>
      <c r="H103" s="8"/>
      <c r="I103" s="8">
        <v>10</v>
      </c>
      <c r="J103" s="8"/>
      <c r="K103" s="8">
        <v>10</v>
      </c>
      <c r="L103" s="8">
        <v>10</v>
      </c>
      <c r="M103" s="8"/>
      <c r="N103" s="8"/>
      <c r="O103" s="8"/>
      <c r="P103" s="8"/>
      <c r="Q103" s="8"/>
      <c r="R103" s="8"/>
      <c r="S103" s="8"/>
      <c r="T103" s="8"/>
      <c r="U103" s="8"/>
      <c r="V103" s="8"/>
      <c r="W103" s="8"/>
      <c r="X103" s="8"/>
      <c r="Y103" s="8"/>
      <c r="Z103" s="8"/>
    </row>
    <row r="104" spans="1:26" ht="12.75" hidden="1">
      <c r="A104" s="8" t="s">
        <v>18</v>
      </c>
      <c r="B104" s="9">
        <v>45426</v>
      </c>
      <c r="C104" s="8" t="s">
        <v>912</v>
      </c>
      <c r="D104" s="8" t="s">
        <v>54</v>
      </c>
      <c r="E104" s="8">
        <v>4558890189</v>
      </c>
      <c r="F104" s="8">
        <v>7</v>
      </c>
      <c r="G104" s="8">
        <v>10</v>
      </c>
      <c r="H104" s="8">
        <v>10</v>
      </c>
      <c r="I104" s="8">
        <v>10</v>
      </c>
      <c r="J104" s="8">
        <v>5</v>
      </c>
      <c r="K104" s="8">
        <v>7.5</v>
      </c>
      <c r="L104" s="8">
        <v>7.5</v>
      </c>
      <c r="M104" s="8"/>
      <c r="N104" s="8"/>
      <c r="O104" s="8"/>
      <c r="P104" s="8"/>
      <c r="Q104" s="8"/>
      <c r="R104" s="8"/>
      <c r="S104" s="8"/>
      <c r="T104" s="8"/>
      <c r="U104" s="8"/>
      <c r="V104" s="8"/>
      <c r="W104" s="8"/>
      <c r="X104" s="8"/>
      <c r="Y104" s="8"/>
      <c r="Z104" s="8"/>
    </row>
    <row r="105" spans="1:26" ht="12.75" hidden="1">
      <c r="A105" s="8" t="s">
        <v>18</v>
      </c>
      <c r="B105" s="9">
        <v>45426</v>
      </c>
      <c r="C105" s="8" t="s">
        <v>913</v>
      </c>
      <c r="D105" s="8" t="s">
        <v>45</v>
      </c>
      <c r="E105" s="8">
        <v>4991459866</v>
      </c>
      <c r="F105" s="8">
        <v>9</v>
      </c>
      <c r="G105" s="8">
        <v>7.5</v>
      </c>
      <c r="H105" s="8">
        <v>7.5</v>
      </c>
      <c r="I105" s="8">
        <v>10</v>
      </c>
      <c r="J105" s="8">
        <v>7.5</v>
      </c>
      <c r="K105" s="8">
        <v>7.5</v>
      </c>
      <c r="L105" s="8">
        <v>7.5</v>
      </c>
      <c r="M105" s="8" t="s">
        <v>11</v>
      </c>
      <c r="N105" s="8"/>
      <c r="O105" s="8"/>
      <c r="P105" s="8"/>
      <c r="Q105" s="8"/>
      <c r="R105" s="8"/>
      <c r="S105" s="8"/>
      <c r="T105" s="8"/>
      <c r="U105" s="8"/>
      <c r="V105" s="8"/>
      <c r="W105" s="8"/>
      <c r="X105" s="8"/>
      <c r="Y105" s="8"/>
      <c r="Z105" s="8"/>
    </row>
    <row r="106" spans="1:26" ht="12.75" hidden="1">
      <c r="A106" s="8" t="s">
        <v>18</v>
      </c>
      <c r="B106" s="9">
        <v>45426</v>
      </c>
      <c r="C106" s="8" t="s">
        <v>330</v>
      </c>
      <c r="D106" s="8" t="s">
        <v>105</v>
      </c>
      <c r="E106" s="8">
        <v>4142033727</v>
      </c>
      <c r="F106" s="8">
        <v>7</v>
      </c>
      <c r="G106" s="8">
        <v>7.5</v>
      </c>
      <c r="H106" s="8">
        <v>7.5</v>
      </c>
      <c r="I106" s="8">
        <v>7.5</v>
      </c>
      <c r="J106" s="8">
        <v>7.5</v>
      </c>
      <c r="K106" s="8">
        <v>10</v>
      </c>
      <c r="L106" s="8">
        <v>7.5</v>
      </c>
      <c r="M106" s="8" t="s">
        <v>914</v>
      </c>
      <c r="N106" s="8" t="s">
        <v>915</v>
      </c>
      <c r="O106" s="8"/>
      <c r="P106" s="8"/>
      <c r="Q106" s="8"/>
      <c r="R106" s="8"/>
      <c r="S106" s="8"/>
      <c r="T106" s="8"/>
      <c r="U106" s="8"/>
      <c r="V106" s="8"/>
      <c r="W106" s="8"/>
      <c r="X106" s="8"/>
      <c r="Y106" s="8"/>
      <c r="Z106" s="8"/>
    </row>
    <row r="107" spans="1:26" ht="12.75" hidden="1">
      <c r="A107" s="39" t="s">
        <v>18</v>
      </c>
      <c r="B107" s="40">
        <v>45426</v>
      </c>
      <c r="C107" s="39" t="s">
        <v>916</v>
      </c>
      <c r="D107" s="39" t="s">
        <v>93</v>
      </c>
      <c r="E107" s="39">
        <v>4193703529</v>
      </c>
      <c r="F107" s="39">
        <v>1</v>
      </c>
      <c r="G107" s="39">
        <v>5</v>
      </c>
      <c r="H107" s="39">
        <v>2.5</v>
      </c>
      <c r="I107" s="39">
        <v>10</v>
      </c>
      <c r="J107" s="39">
        <v>2.5</v>
      </c>
      <c r="K107" s="39">
        <v>2.5</v>
      </c>
      <c r="L107" s="39">
        <v>5</v>
      </c>
      <c r="M107" s="39" t="s">
        <v>283</v>
      </c>
      <c r="N107" s="39" t="s">
        <v>917</v>
      </c>
      <c r="O107" s="39"/>
      <c r="P107" s="8"/>
    </row>
    <row r="108" spans="1:26" ht="12.75" hidden="1">
      <c r="A108" s="8" t="s">
        <v>18</v>
      </c>
      <c r="B108" s="9">
        <v>45426</v>
      </c>
      <c r="C108" s="8" t="s">
        <v>918</v>
      </c>
      <c r="D108" s="8" t="s">
        <v>431</v>
      </c>
      <c r="E108" s="8">
        <v>4313835086</v>
      </c>
      <c r="F108" s="8">
        <v>6</v>
      </c>
      <c r="G108" s="8">
        <v>7.5</v>
      </c>
      <c r="H108" s="8">
        <v>5</v>
      </c>
      <c r="I108" s="8">
        <v>10</v>
      </c>
      <c r="J108" s="8">
        <v>5</v>
      </c>
      <c r="K108" s="8">
        <v>5</v>
      </c>
      <c r="L108" s="8">
        <v>7.5</v>
      </c>
      <c r="M108" s="8" t="s">
        <v>919</v>
      </c>
      <c r="N108" s="8" t="s">
        <v>920</v>
      </c>
      <c r="O108" s="8"/>
      <c r="P108" s="8"/>
    </row>
    <row r="109" spans="1:26" ht="12.75" hidden="1">
      <c r="A109" s="8" t="s">
        <v>18</v>
      </c>
      <c r="B109" s="9">
        <v>45426</v>
      </c>
      <c r="C109" s="8" t="s">
        <v>921</v>
      </c>
      <c r="D109" s="8" t="s">
        <v>105</v>
      </c>
      <c r="E109" s="8">
        <v>4486363893</v>
      </c>
      <c r="F109" s="8">
        <v>5</v>
      </c>
      <c r="G109" s="8">
        <v>10</v>
      </c>
      <c r="H109" s="8">
        <v>5</v>
      </c>
      <c r="I109" s="8">
        <v>10</v>
      </c>
      <c r="J109" s="8">
        <v>5</v>
      </c>
      <c r="K109" s="8">
        <v>7.5</v>
      </c>
      <c r="L109" s="8">
        <v>5</v>
      </c>
      <c r="M109" s="8" t="s">
        <v>922</v>
      </c>
      <c r="N109" s="8" t="s">
        <v>923</v>
      </c>
      <c r="O109" s="8"/>
      <c r="P109" s="8"/>
    </row>
    <row r="110" spans="1:26" ht="12.75" hidden="1">
      <c r="A110" s="8" t="s">
        <v>18</v>
      </c>
      <c r="B110" s="9">
        <v>45426</v>
      </c>
      <c r="C110" s="8" t="s">
        <v>924</v>
      </c>
      <c r="D110" s="8" t="s">
        <v>148</v>
      </c>
      <c r="E110" s="8">
        <v>4917022970</v>
      </c>
      <c r="F110" s="8">
        <v>9</v>
      </c>
      <c r="G110" s="8">
        <v>10</v>
      </c>
      <c r="H110" s="8">
        <v>10</v>
      </c>
      <c r="I110" s="8">
        <v>10</v>
      </c>
      <c r="J110" s="8">
        <v>10</v>
      </c>
      <c r="K110" s="8">
        <v>10</v>
      </c>
      <c r="L110" s="8">
        <v>10</v>
      </c>
      <c r="M110" s="8"/>
      <c r="N110" s="8"/>
      <c r="O110" s="8"/>
      <c r="P110" s="8"/>
    </row>
    <row r="111" spans="1:26" ht="12.75" hidden="1">
      <c r="A111" s="8" t="s">
        <v>18</v>
      </c>
      <c r="B111" s="9">
        <v>45427</v>
      </c>
      <c r="C111" s="8" t="s">
        <v>925</v>
      </c>
      <c r="D111" s="8" t="s">
        <v>105</v>
      </c>
      <c r="E111" s="8">
        <v>4075984551</v>
      </c>
      <c r="F111" s="8">
        <v>9</v>
      </c>
      <c r="G111" s="8">
        <v>10</v>
      </c>
      <c r="H111" s="8">
        <v>10</v>
      </c>
      <c r="I111" s="8">
        <v>10</v>
      </c>
      <c r="J111" s="8">
        <v>7.5</v>
      </c>
      <c r="K111" s="8">
        <v>10</v>
      </c>
      <c r="L111" s="8">
        <v>10</v>
      </c>
      <c r="M111" s="8" t="s">
        <v>926</v>
      </c>
      <c r="N111" s="8" t="s">
        <v>927</v>
      </c>
      <c r="O111" s="8"/>
      <c r="P111" s="8"/>
    </row>
    <row r="112" spans="1:26" ht="12.75" hidden="1">
      <c r="A112" s="8" t="s">
        <v>18</v>
      </c>
      <c r="B112" s="9">
        <v>45427</v>
      </c>
      <c r="C112" s="8" t="s">
        <v>928</v>
      </c>
      <c r="D112" s="8" t="s">
        <v>20</v>
      </c>
      <c r="E112" s="8">
        <v>4404555791</v>
      </c>
      <c r="F112" s="8">
        <v>8</v>
      </c>
      <c r="G112" s="8">
        <v>10</v>
      </c>
      <c r="H112" s="8">
        <v>7.5</v>
      </c>
      <c r="I112" s="8">
        <v>10</v>
      </c>
      <c r="J112" s="8">
        <v>7.5</v>
      </c>
      <c r="K112" s="8">
        <v>5</v>
      </c>
      <c r="L112" s="8">
        <v>5</v>
      </c>
      <c r="M112" s="8"/>
      <c r="N112" s="8"/>
      <c r="O112" s="8"/>
      <c r="P112" s="8"/>
    </row>
    <row r="113" spans="1:26" ht="12.75" hidden="1">
      <c r="A113" s="8" t="s">
        <v>18</v>
      </c>
      <c r="B113" s="9">
        <v>45427</v>
      </c>
      <c r="C113" s="8" t="s">
        <v>929</v>
      </c>
      <c r="D113" s="8" t="s">
        <v>431</v>
      </c>
      <c r="E113" s="8">
        <v>4618538748</v>
      </c>
      <c r="F113" s="8">
        <v>9</v>
      </c>
      <c r="G113" s="8">
        <v>7.5</v>
      </c>
      <c r="H113" s="8">
        <v>7.5</v>
      </c>
      <c r="I113" s="8">
        <v>7.5</v>
      </c>
      <c r="J113" s="8">
        <v>7.5</v>
      </c>
      <c r="K113" s="8">
        <v>7.5</v>
      </c>
      <c r="L113" s="8">
        <v>7.5</v>
      </c>
      <c r="M113" s="8" t="s">
        <v>930</v>
      </c>
      <c r="N113" s="8" t="s">
        <v>931</v>
      </c>
      <c r="O113" s="8" t="s">
        <v>932</v>
      </c>
      <c r="P113" s="8"/>
    </row>
    <row r="114" spans="1:26" ht="12.75" hidden="1">
      <c r="A114" s="8" t="s">
        <v>18</v>
      </c>
      <c r="B114" s="9">
        <v>45427</v>
      </c>
      <c r="C114" s="8" t="s">
        <v>913</v>
      </c>
      <c r="D114" s="8" t="s">
        <v>45</v>
      </c>
      <c r="E114" s="8">
        <v>4353738722</v>
      </c>
      <c r="F114" s="8">
        <v>10</v>
      </c>
      <c r="G114" s="8">
        <v>10</v>
      </c>
      <c r="H114" s="8">
        <v>10</v>
      </c>
      <c r="I114" s="8">
        <v>10</v>
      </c>
      <c r="J114" s="8">
        <v>7.5</v>
      </c>
      <c r="K114" s="8">
        <v>7.5</v>
      </c>
      <c r="L114" s="8">
        <v>10</v>
      </c>
      <c r="M114" s="8" t="s">
        <v>933</v>
      </c>
      <c r="N114" s="8"/>
      <c r="O114" s="8"/>
      <c r="P114" s="8"/>
    </row>
    <row r="115" spans="1:26" ht="12.75" hidden="1">
      <c r="A115" s="8" t="s">
        <v>18</v>
      </c>
      <c r="B115" s="9">
        <v>45427</v>
      </c>
      <c r="C115" s="8" t="s">
        <v>934</v>
      </c>
      <c r="D115" s="8" t="s">
        <v>114</v>
      </c>
      <c r="E115" s="8">
        <v>4746772327</v>
      </c>
      <c r="F115" s="8">
        <v>8</v>
      </c>
      <c r="G115" s="8">
        <v>7.5</v>
      </c>
      <c r="H115" s="8">
        <v>7.5</v>
      </c>
      <c r="I115" s="8">
        <v>10</v>
      </c>
      <c r="J115" s="8">
        <v>7.5</v>
      </c>
      <c r="K115" s="8">
        <v>7.5</v>
      </c>
      <c r="L115" s="8">
        <v>7.5</v>
      </c>
      <c r="M115" s="8"/>
      <c r="N115" s="8"/>
      <c r="O115" s="8"/>
      <c r="P115" s="8"/>
    </row>
    <row r="116" spans="1:26" ht="12.75" hidden="1">
      <c r="A116" s="8" t="s">
        <v>18</v>
      </c>
      <c r="B116" s="9">
        <v>45427</v>
      </c>
      <c r="C116" s="8" t="s">
        <v>935</v>
      </c>
      <c r="D116" s="8" t="s">
        <v>134</v>
      </c>
      <c r="E116" s="8">
        <v>4953022469</v>
      </c>
      <c r="F116" s="8">
        <v>9</v>
      </c>
      <c r="G116" s="8">
        <v>10</v>
      </c>
      <c r="H116" s="8">
        <v>7.5</v>
      </c>
      <c r="I116" s="8">
        <v>10</v>
      </c>
      <c r="J116" s="8">
        <v>7.5</v>
      </c>
      <c r="K116" s="8">
        <v>10</v>
      </c>
      <c r="L116" s="8">
        <v>7.5</v>
      </c>
      <c r="M116" s="8" t="s">
        <v>936</v>
      </c>
      <c r="N116" s="8" t="s">
        <v>937</v>
      </c>
      <c r="O116" s="8"/>
      <c r="P116" s="8"/>
    </row>
    <row r="117" spans="1:26" ht="12.75" hidden="1">
      <c r="A117" s="8" t="s">
        <v>18</v>
      </c>
      <c r="B117" s="9">
        <v>45427</v>
      </c>
      <c r="C117" s="8" t="s">
        <v>938</v>
      </c>
      <c r="D117" s="8" t="s">
        <v>54</v>
      </c>
      <c r="E117" s="8">
        <v>4884621976</v>
      </c>
      <c r="F117" s="8">
        <v>2</v>
      </c>
      <c r="G117" s="8">
        <v>5</v>
      </c>
      <c r="H117" s="8">
        <v>2.5</v>
      </c>
      <c r="I117" s="8">
        <v>7.5</v>
      </c>
      <c r="J117" s="8">
        <v>5</v>
      </c>
      <c r="K117" s="8">
        <v>2.5</v>
      </c>
      <c r="L117" s="8">
        <v>5</v>
      </c>
      <c r="M117" s="8"/>
      <c r="N117" s="8" t="s">
        <v>939</v>
      </c>
      <c r="O117" s="8" t="s">
        <v>940</v>
      </c>
      <c r="P117" s="8"/>
    </row>
    <row r="118" spans="1:26" ht="12.75" hidden="1">
      <c r="A118" s="8" t="s">
        <v>18</v>
      </c>
      <c r="B118" s="9">
        <v>45427</v>
      </c>
      <c r="C118" s="8" t="s">
        <v>941</v>
      </c>
      <c r="D118" s="8" t="s">
        <v>148</v>
      </c>
      <c r="E118" s="8">
        <v>4438713120</v>
      </c>
      <c r="F118" s="8">
        <v>8</v>
      </c>
      <c r="G118" s="8">
        <v>10</v>
      </c>
      <c r="H118" s="8">
        <v>7.5</v>
      </c>
      <c r="I118" s="8">
        <v>10</v>
      </c>
      <c r="J118" s="8">
        <v>7.5</v>
      </c>
      <c r="K118" s="8">
        <v>10</v>
      </c>
      <c r="L118" s="8">
        <v>5</v>
      </c>
      <c r="M118" s="8"/>
      <c r="N118" s="8"/>
      <c r="O118" s="8"/>
      <c r="P118" s="8"/>
    </row>
    <row r="119" spans="1:26" ht="12.75" hidden="1">
      <c r="A119" s="8" t="s">
        <v>18</v>
      </c>
      <c r="B119" s="9">
        <v>45428</v>
      </c>
      <c r="C119" s="8" t="s">
        <v>404</v>
      </c>
      <c r="D119" s="8" t="s">
        <v>416</v>
      </c>
      <c r="E119" s="8">
        <v>4416446769</v>
      </c>
      <c r="F119" s="8">
        <v>5</v>
      </c>
      <c r="G119" s="8">
        <v>7.5</v>
      </c>
      <c r="H119" s="8">
        <v>5</v>
      </c>
      <c r="I119" s="8">
        <v>10</v>
      </c>
      <c r="J119" s="8">
        <v>2.5</v>
      </c>
      <c r="K119" s="8">
        <v>5</v>
      </c>
      <c r="L119" s="8">
        <v>5</v>
      </c>
      <c r="M119" s="8"/>
      <c r="N119" s="8"/>
      <c r="O119" s="8" t="s">
        <v>942</v>
      </c>
      <c r="P119" s="8"/>
    </row>
    <row r="120" spans="1:26" ht="12.75" hidden="1">
      <c r="A120" s="8" t="s">
        <v>18</v>
      </c>
      <c r="B120" s="9">
        <v>45428</v>
      </c>
      <c r="C120" s="8" t="s">
        <v>943</v>
      </c>
      <c r="D120" s="8" t="s">
        <v>33</v>
      </c>
      <c r="E120" s="8">
        <v>4872121239</v>
      </c>
      <c r="F120" s="8">
        <v>8</v>
      </c>
      <c r="G120" s="8">
        <v>10</v>
      </c>
      <c r="H120" s="8">
        <v>7.5</v>
      </c>
      <c r="I120" s="8">
        <v>10</v>
      </c>
      <c r="J120" s="8">
        <v>7.5</v>
      </c>
      <c r="K120" s="8">
        <v>7.5</v>
      </c>
      <c r="L120" s="8">
        <v>10</v>
      </c>
      <c r="M120" s="8"/>
      <c r="N120" s="8"/>
      <c r="O120" s="8"/>
      <c r="P120" s="8"/>
    </row>
    <row r="121" spans="1:26" ht="12.75" hidden="1">
      <c r="A121" s="8" t="s">
        <v>18</v>
      </c>
      <c r="B121" s="9">
        <v>45428</v>
      </c>
      <c r="C121" s="8" t="s">
        <v>944</v>
      </c>
      <c r="D121" s="8" t="s">
        <v>36</v>
      </c>
      <c r="E121" s="8">
        <v>4563564549</v>
      </c>
      <c r="F121" s="8">
        <v>8</v>
      </c>
      <c r="G121" s="8">
        <v>7.5</v>
      </c>
      <c r="H121" s="8">
        <v>10</v>
      </c>
      <c r="I121" s="8">
        <v>10</v>
      </c>
      <c r="J121" s="8">
        <v>7.5</v>
      </c>
      <c r="K121" s="8">
        <v>7.5</v>
      </c>
      <c r="L121" s="8">
        <v>10</v>
      </c>
      <c r="M121" s="8"/>
      <c r="N121" s="8"/>
      <c r="O121" s="8"/>
      <c r="P121" s="8"/>
    </row>
    <row r="122" spans="1:26" ht="12.75" hidden="1">
      <c r="A122" s="8" t="s">
        <v>18</v>
      </c>
      <c r="B122" s="9">
        <v>45428</v>
      </c>
      <c r="C122" s="8" t="s">
        <v>945</v>
      </c>
      <c r="D122" s="8" t="s">
        <v>148</v>
      </c>
      <c r="E122" s="8">
        <v>4827441362</v>
      </c>
      <c r="F122" s="8">
        <v>8</v>
      </c>
      <c r="G122" s="8">
        <v>10</v>
      </c>
      <c r="H122" s="8">
        <v>5</v>
      </c>
      <c r="I122" s="8">
        <v>10</v>
      </c>
      <c r="J122" s="8">
        <v>7.5</v>
      </c>
      <c r="K122" s="8">
        <v>7.5</v>
      </c>
      <c r="L122" s="8">
        <v>10</v>
      </c>
      <c r="M122" s="8" t="s">
        <v>946</v>
      </c>
      <c r="N122" s="8" t="s">
        <v>947</v>
      </c>
      <c r="O122" s="8" t="s">
        <v>948</v>
      </c>
      <c r="P122" s="8"/>
    </row>
    <row r="123" spans="1:26" ht="12.75" hidden="1">
      <c r="A123" s="8" t="s">
        <v>18</v>
      </c>
      <c r="B123" s="9">
        <v>45429</v>
      </c>
      <c r="C123" s="8" t="s">
        <v>516</v>
      </c>
      <c r="D123" s="8" t="s">
        <v>148</v>
      </c>
      <c r="E123" s="8">
        <v>4314457479</v>
      </c>
      <c r="F123" s="8">
        <v>9</v>
      </c>
      <c r="G123" s="8">
        <v>10</v>
      </c>
      <c r="H123" s="8">
        <v>7.5</v>
      </c>
      <c r="I123" s="8">
        <v>10</v>
      </c>
      <c r="J123" s="8">
        <v>7.5</v>
      </c>
      <c r="K123" s="8">
        <v>10</v>
      </c>
      <c r="L123" s="8">
        <v>10</v>
      </c>
      <c r="M123" s="8"/>
      <c r="N123" s="8"/>
      <c r="O123" s="8"/>
      <c r="P123" s="8"/>
    </row>
    <row r="124" spans="1:26" ht="12.75" hidden="1">
      <c r="A124" s="8" t="s">
        <v>18</v>
      </c>
      <c r="B124" s="9">
        <v>45429</v>
      </c>
      <c r="C124" s="8" t="s">
        <v>949</v>
      </c>
      <c r="D124" s="8" t="s">
        <v>54</v>
      </c>
      <c r="E124" s="8">
        <v>4762338180</v>
      </c>
      <c r="F124" s="8">
        <v>9</v>
      </c>
      <c r="G124" s="8">
        <v>7.5</v>
      </c>
      <c r="H124" s="8">
        <v>10</v>
      </c>
      <c r="I124" s="8">
        <v>10</v>
      </c>
      <c r="J124" s="8">
        <v>5</v>
      </c>
      <c r="K124" s="8">
        <v>10</v>
      </c>
      <c r="L124" s="8">
        <v>10</v>
      </c>
      <c r="M124" s="8" t="s">
        <v>950</v>
      </c>
      <c r="N124" s="8" t="s">
        <v>951</v>
      </c>
      <c r="O124" s="8"/>
      <c r="P124" s="8"/>
    </row>
    <row r="125" spans="1:26" ht="12.75" hidden="1">
      <c r="A125" s="8" t="s">
        <v>18</v>
      </c>
      <c r="B125" s="9">
        <v>45429</v>
      </c>
      <c r="C125" s="8" t="s">
        <v>952</v>
      </c>
      <c r="D125" s="8" t="s">
        <v>60</v>
      </c>
      <c r="E125" s="8">
        <v>4980472872</v>
      </c>
      <c r="F125" s="8">
        <v>8</v>
      </c>
      <c r="G125" s="8">
        <v>7.5</v>
      </c>
      <c r="H125" s="8">
        <v>7.5</v>
      </c>
      <c r="I125" s="8">
        <v>7.5</v>
      </c>
      <c r="J125" s="8">
        <v>7.5</v>
      </c>
      <c r="K125" s="8">
        <v>7.5</v>
      </c>
      <c r="L125" s="8">
        <v>7.5</v>
      </c>
      <c r="M125" s="8"/>
      <c r="N125" s="8"/>
      <c r="O125" s="8"/>
      <c r="P125" s="8"/>
    </row>
    <row r="126" spans="1:26" ht="12.75" hidden="1">
      <c r="A126" s="8" t="s">
        <v>18</v>
      </c>
      <c r="B126" s="9">
        <v>45429</v>
      </c>
      <c r="C126" s="8" t="s">
        <v>949</v>
      </c>
      <c r="D126" s="8" t="s">
        <v>54</v>
      </c>
      <c r="E126" s="8">
        <v>4412321202</v>
      </c>
      <c r="F126" s="8">
        <v>10</v>
      </c>
      <c r="G126" s="8">
        <v>7.5</v>
      </c>
      <c r="H126" s="8">
        <v>10</v>
      </c>
      <c r="I126" s="8">
        <v>10</v>
      </c>
      <c r="J126" s="8">
        <v>7.5</v>
      </c>
      <c r="K126" s="8">
        <v>10</v>
      </c>
      <c r="L126" s="8">
        <v>10</v>
      </c>
      <c r="M126" s="8" t="s">
        <v>953</v>
      </c>
      <c r="N126" s="8" t="s">
        <v>954</v>
      </c>
      <c r="O126" s="8"/>
      <c r="P126" s="8"/>
      <c r="Q126" s="8"/>
      <c r="R126" s="8"/>
      <c r="S126" s="8"/>
      <c r="T126" s="8"/>
      <c r="U126" s="8"/>
      <c r="V126" s="8"/>
      <c r="W126" s="8"/>
      <c r="X126" s="8"/>
      <c r="Y126" s="8"/>
      <c r="Z126" s="8"/>
    </row>
    <row r="127" spans="1:26" ht="12.75" hidden="1">
      <c r="A127" s="8" t="s">
        <v>18</v>
      </c>
      <c r="B127" s="9">
        <v>45429</v>
      </c>
      <c r="C127" s="8" t="s">
        <v>450</v>
      </c>
      <c r="D127" s="8" t="s">
        <v>36</v>
      </c>
      <c r="E127" s="8">
        <v>4545685447</v>
      </c>
      <c r="F127" s="8">
        <v>3</v>
      </c>
      <c r="G127" s="8">
        <v>7.5</v>
      </c>
      <c r="H127" s="8">
        <v>5</v>
      </c>
      <c r="I127" s="8">
        <v>10</v>
      </c>
      <c r="J127" s="8">
        <v>7.5</v>
      </c>
      <c r="K127" s="8">
        <v>5</v>
      </c>
      <c r="L127" s="8">
        <v>5</v>
      </c>
      <c r="M127" s="8" t="s">
        <v>955</v>
      </c>
      <c r="N127" s="8" t="s">
        <v>956</v>
      </c>
      <c r="O127" s="8" t="s">
        <v>957</v>
      </c>
      <c r="P127" s="8"/>
      <c r="Q127" s="8"/>
      <c r="R127" s="8"/>
      <c r="S127" s="8"/>
      <c r="T127" s="8"/>
      <c r="U127" s="8"/>
      <c r="V127" s="8"/>
      <c r="W127" s="8"/>
      <c r="X127" s="8"/>
      <c r="Y127" s="8"/>
      <c r="Z127" s="8"/>
    </row>
    <row r="128" spans="1:26" ht="12.75" hidden="1">
      <c r="A128" s="8" t="s">
        <v>18</v>
      </c>
      <c r="B128" s="9">
        <v>45429</v>
      </c>
      <c r="C128" s="8" t="s">
        <v>958</v>
      </c>
      <c r="D128" s="8" t="s">
        <v>25</v>
      </c>
      <c r="E128" s="8">
        <v>4895911112</v>
      </c>
      <c r="F128" s="8">
        <v>1</v>
      </c>
      <c r="G128" s="8">
        <v>5</v>
      </c>
      <c r="H128" s="8">
        <v>5</v>
      </c>
      <c r="I128" s="8">
        <v>5</v>
      </c>
      <c r="J128" s="8">
        <v>5</v>
      </c>
      <c r="K128" s="8">
        <v>2.5</v>
      </c>
      <c r="L128" s="8">
        <v>2.5</v>
      </c>
      <c r="M128" s="8"/>
      <c r="N128" s="8" t="s">
        <v>959</v>
      </c>
      <c r="O128" s="8"/>
      <c r="P128" s="8"/>
      <c r="Q128" s="8"/>
      <c r="R128" s="8"/>
      <c r="S128" s="8"/>
      <c r="T128" s="8"/>
      <c r="U128" s="8"/>
      <c r="V128" s="8"/>
      <c r="W128" s="8"/>
      <c r="X128" s="8"/>
      <c r="Y128" s="8"/>
      <c r="Z128" s="8"/>
    </row>
    <row r="129" spans="1:26" ht="12.75" hidden="1">
      <c r="A129" s="8" t="s">
        <v>18</v>
      </c>
      <c r="B129" s="9">
        <v>45429</v>
      </c>
      <c r="C129" s="8" t="s">
        <v>960</v>
      </c>
      <c r="D129" s="8" t="s">
        <v>118</v>
      </c>
      <c r="E129" s="8">
        <v>4059561597</v>
      </c>
      <c r="F129" s="8">
        <v>8</v>
      </c>
      <c r="G129" s="8">
        <v>10</v>
      </c>
      <c r="H129" s="8">
        <v>7.5</v>
      </c>
      <c r="I129" s="8">
        <v>10</v>
      </c>
      <c r="J129" s="8">
        <v>7.5</v>
      </c>
      <c r="K129" s="8">
        <v>7.5</v>
      </c>
      <c r="L129" s="8">
        <v>7.5</v>
      </c>
      <c r="M129" s="8" t="s">
        <v>961</v>
      </c>
      <c r="N129" s="8" t="s">
        <v>962</v>
      </c>
      <c r="O129" s="8"/>
      <c r="P129" s="8"/>
      <c r="Q129" s="8"/>
      <c r="R129" s="8"/>
      <c r="S129" s="8"/>
      <c r="T129" s="8"/>
      <c r="U129" s="8"/>
      <c r="V129" s="8"/>
      <c r="W129" s="8"/>
      <c r="X129" s="8"/>
      <c r="Y129" s="8"/>
      <c r="Z129" s="8"/>
    </row>
    <row r="130" spans="1:26" ht="12.75" hidden="1">
      <c r="A130" s="8" t="s">
        <v>18</v>
      </c>
      <c r="B130" s="9">
        <v>45429</v>
      </c>
      <c r="C130" s="8" t="s">
        <v>963</v>
      </c>
      <c r="D130" s="8" t="s">
        <v>36</v>
      </c>
      <c r="E130" s="8">
        <v>4998265165</v>
      </c>
      <c r="F130" s="8">
        <v>10</v>
      </c>
      <c r="G130" s="8">
        <v>10</v>
      </c>
      <c r="H130" s="8">
        <v>10</v>
      </c>
      <c r="I130" s="8">
        <v>10</v>
      </c>
      <c r="J130" s="8">
        <v>10</v>
      </c>
      <c r="K130" s="8">
        <v>10</v>
      </c>
      <c r="L130" s="8">
        <v>10</v>
      </c>
      <c r="M130" s="8"/>
      <c r="N130" s="8"/>
      <c r="O130" s="8"/>
      <c r="P130" s="8"/>
      <c r="Q130" s="8"/>
      <c r="R130" s="8"/>
      <c r="S130" s="8"/>
      <c r="T130" s="8"/>
      <c r="U130" s="8"/>
      <c r="V130" s="8"/>
      <c r="W130" s="8"/>
      <c r="X130" s="8"/>
      <c r="Y130" s="8"/>
      <c r="Z130" s="8"/>
    </row>
    <row r="131" spans="1:26" ht="12.75" hidden="1">
      <c r="A131" s="8" t="s">
        <v>18</v>
      </c>
      <c r="B131" s="9">
        <v>45429</v>
      </c>
      <c r="C131" s="8" t="s">
        <v>516</v>
      </c>
      <c r="D131" s="8" t="s">
        <v>148</v>
      </c>
      <c r="E131" s="8">
        <v>4314457479</v>
      </c>
      <c r="F131" s="8">
        <v>9</v>
      </c>
      <c r="G131" s="8">
        <v>10</v>
      </c>
      <c r="H131" s="8">
        <v>7.5</v>
      </c>
      <c r="I131" s="8">
        <v>10</v>
      </c>
      <c r="J131" s="8">
        <v>7.5</v>
      </c>
      <c r="K131" s="8">
        <v>10</v>
      </c>
      <c r="L131" s="8">
        <v>10</v>
      </c>
      <c r="M131" s="8"/>
      <c r="N131" s="8"/>
      <c r="O131" s="8"/>
      <c r="P131" s="8"/>
      <c r="Q131" s="8"/>
      <c r="R131" s="8"/>
      <c r="S131" s="8"/>
      <c r="T131" s="8"/>
      <c r="U131" s="8"/>
      <c r="V131" s="8"/>
      <c r="W131" s="8"/>
      <c r="X131" s="8"/>
      <c r="Y131" s="8"/>
      <c r="Z131" s="8"/>
    </row>
    <row r="132" spans="1:26" ht="12.75" hidden="1">
      <c r="A132" s="8" t="s">
        <v>18</v>
      </c>
      <c r="B132" s="9">
        <v>45429</v>
      </c>
      <c r="C132" s="8" t="s">
        <v>949</v>
      </c>
      <c r="D132" s="8" t="s">
        <v>54</v>
      </c>
      <c r="E132" s="8">
        <v>4762338180</v>
      </c>
      <c r="F132" s="8">
        <v>9</v>
      </c>
      <c r="G132" s="8">
        <v>7.5</v>
      </c>
      <c r="H132" s="8">
        <v>10</v>
      </c>
      <c r="I132" s="8">
        <v>10</v>
      </c>
      <c r="J132" s="8">
        <v>5</v>
      </c>
      <c r="K132" s="8">
        <v>10</v>
      </c>
      <c r="L132" s="8">
        <v>10</v>
      </c>
      <c r="M132" s="8" t="s">
        <v>950</v>
      </c>
      <c r="N132" s="8" t="s">
        <v>951</v>
      </c>
      <c r="O132" s="8"/>
      <c r="P132" s="8"/>
      <c r="Q132" s="8"/>
      <c r="R132" s="8"/>
      <c r="S132" s="8"/>
      <c r="T132" s="8"/>
      <c r="U132" s="8"/>
      <c r="V132" s="8"/>
      <c r="W132" s="8"/>
      <c r="X132" s="8"/>
      <c r="Y132" s="8"/>
      <c r="Z132" s="8"/>
    </row>
    <row r="133" spans="1:26" ht="12.75" hidden="1">
      <c r="A133" s="8" t="s">
        <v>18</v>
      </c>
      <c r="B133" s="9">
        <v>45429</v>
      </c>
      <c r="C133" s="8" t="s">
        <v>952</v>
      </c>
      <c r="D133" s="8" t="s">
        <v>60</v>
      </c>
      <c r="E133" s="8">
        <v>4980472872</v>
      </c>
      <c r="F133" s="8">
        <v>8</v>
      </c>
      <c r="G133" s="8">
        <v>7.5</v>
      </c>
      <c r="H133" s="8">
        <v>7.5</v>
      </c>
      <c r="I133" s="8">
        <v>7.5</v>
      </c>
      <c r="J133" s="8">
        <v>7.5</v>
      </c>
      <c r="K133" s="8">
        <v>7.5</v>
      </c>
      <c r="L133" s="8">
        <v>7.5</v>
      </c>
      <c r="M133" s="8"/>
      <c r="N133" s="8"/>
      <c r="O133" s="8"/>
      <c r="P133" s="8"/>
      <c r="Q133" s="8"/>
      <c r="R133" s="8"/>
      <c r="S133" s="8"/>
      <c r="T133" s="8"/>
      <c r="U133" s="8"/>
      <c r="V133" s="8"/>
      <c r="W133" s="8"/>
      <c r="X133" s="8"/>
      <c r="Y133" s="8"/>
      <c r="Z133" s="8"/>
    </row>
    <row r="134" spans="1:26" ht="12.75" hidden="1">
      <c r="A134" s="39" t="s">
        <v>18</v>
      </c>
      <c r="B134" s="40">
        <v>45430</v>
      </c>
      <c r="C134" s="39" t="s">
        <v>964</v>
      </c>
      <c r="D134" s="39" t="s">
        <v>54</v>
      </c>
      <c r="E134" s="39">
        <v>4264179943</v>
      </c>
      <c r="F134" s="39">
        <v>4</v>
      </c>
      <c r="G134" s="39">
        <v>10</v>
      </c>
      <c r="H134" s="39">
        <v>5</v>
      </c>
      <c r="I134" s="39">
        <v>10</v>
      </c>
      <c r="J134" s="39">
        <v>5</v>
      </c>
      <c r="K134" s="39">
        <v>2.5</v>
      </c>
      <c r="L134" s="39">
        <v>5</v>
      </c>
      <c r="M134" s="39" t="s">
        <v>965</v>
      </c>
      <c r="N134" s="39" t="s">
        <v>966</v>
      </c>
      <c r="O134" s="39" t="s">
        <v>967</v>
      </c>
      <c r="P134" s="8"/>
      <c r="Q134" s="8"/>
      <c r="R134" s="8"/>
      <c r="S134" s="8"/>
      <c r="T134" s="8"/>
      <c r="U134" s="8"/>
      <c r="V134" s="8"/>
      <c r="W134" s="8"/>
      <c r="X134" s="8"/>
      <c r="Y134" s="8"/>
      <c r="Z134" s="8"/>
    </row>
    <row r="135" spans="1:26" ht="12.75" hidden="1">
      <c r="A135" s="8" t="s">
        <v>18</v>
      </c>
      <c r="B135" s="9">
        <v>45430</v>
      </c>
      <c r="C135" s="8" t="s">
        <v>166</v>
      </c>
      <c r="D135" s="8" t="s">
        <v>60</v>
      </c>
      <c r="E135" s="8">
        <v>4165790042</v>
      </c>
      <c r="F135" s="8">
        <v>8</v>
      </c>
      <c r="G135" s="8">
        <v>10</v>
      </c>
      <c r="H135" s="8">
        <v>7.5</v>
      </c>
      <c r="I135" s="8">
        <v>10</v>
      </c>
      <c r="J135" s="8">
        <v>7.5</v>
      </c>
      <c r="K135" s="8">
        <v>7.5</v>
      </c>
      <c r="L135" s="8">
        <v>5</v>
      </c>
      <c r="M135" s="8"/>
      <c r="N135" s="8"/>
      <c r="O135" s="8"/>
      <c r="P135" s="8"/>
      <c r="Q135" s="8"/>
      <c r="R135" s="8"/>
      <c r="S135" s="8"/>
      <c r="T135" s="8"/>
      <c r="U135" s="8"/>
      <c r="V135" s="8"/>
      <c r="W135" s="8"/>
      <c r="X135" s="8"/>
      <c r="Y135" s="8"/>
      <c r="Z135" s="8"/>
    </row>
    <row r="136" spans="1:26" ht="12.75" hidden="1">
      <c r="A136" s="8" t="s">
        <v>18</v>
      </c>
      <c r="B136" s="9">
        <v>45430</v>
      </c>
      <c r="C136" s="8" t="s">
        <v>290</v>
      </c>
      <c r="D136" s="8" t="s">
        <v>54</v>
      </c>
      <c r="E136" s="8">
        <v>4850912365</v>
      </c>
      <c r="F136" s="8">
        <v>7</v>
      </c>
      <c r="G136" s="8">
        <v>10</v>
      </c>
      <c r="H136" s="8">
        <v>10</v>
      </c>
      <c r="I136" s="8">
        <v>10</v>
      </c>
      <c r="J136" s="8">
        <v>7.5</v>
      </c>
      <c r="K136" s="8">
        <v>5</v>
      </c>
      <c r="L136" s="8">
        <v>5</v>
      </c>
      <c r="M136" s="8"/>
      <c r="N136" s="8"/>
      <c r="O136" s="8"/>
      <c r="P136" s="8"/>
    </row>
    <row r="137" spans="1:26" ht="12.75" hidden="1">
      <c r="A137" s="8" t="s">
        <v>18</v>
      </c>
      <c r="B137" s="9">
        <v>45430</v>
      </c>
      <c r="C137" s="8" t="s">
        <v>968</v>
      </c>
      <c r="D137" s="8" t="s">
        <v>587</v>
      </c>
      <c r="E137" s="8">
        <v>4145063717</v>
      </c>
      <c r="F137" s="8">
        <v>4</v>
      </c>
      <c r="G137" s="8">
        <v>10</v>
      </c>
      <c r="H137" s="8">
        <v>2.5</v>
      </c>
      <c r="I137" s="8">
        <v>10</v>
      </c>
      <c r="J137" s="8">
        <v>2.5</v>
      </c>
      <c r="K137" s="8">
        <v>2.5</v>
      </c>
      <c r="L137" s="8">
        <v>5</v>
      </c>
      <c r="M137" s="8" t="s">
        <v>969</v>
      </c>
      <c r="N137" s="8" t="s">
        <v>970</v>
      </c>
      <c r="O137" s="8"/>
      <c r="P137" s="8"/>
    </row>
    <row r="138" spans="1:26" ht="12.75" hidden="1">
      <c r="A138" s="8" t="s">
        <v>18</v>
      </c>
      <c r="B138" s="9">
        <v>45430</v>
      </c>
      <c r="C138" s="8" t="s">
        <v>971</v>
      </c>
      <c r="D138" s="8" t="s">
        <v>45</v>
      </c>
      <c r="E138" s="8">
        <v>4081578467</v>
      </c>
      <c r="F138" s="8">
        <v>8.8000000000000007</v>
      </c>
      <c r="G138" s="8">
        <v>10</v>
      </c>
      <c r="H138" s="8">
        <v>7.5</v>
      </c>
      <c r="I138" s="8">
        <v>10</v>
      </c>
      <c r="J138" s="8">
        <v>7.5</v>
      </c>
      <c r="K138" s="8">
        <v>7.5</v>
      </c>
      <c r="L138" s="8">
        <v>10</v>
      </c>
      <c r="M138" s="8" t="s">
        <v>972</v>
      </c>
      <c r="N138" s="8" t="s">
        <v>973</v>
      </c>
      <c r="O138" s="8"/>
      <c r="P138" s="8"/>
    </row>
    <row r="139" spans="1:26" ht="12.75" hidden="1">
      <c r="A139" s="8" t="s">
        <v>18</v>
      </c>
      <c r="B139" s="9">
        <v>45430</v>
      </c>
      <c r="C139" s="8" t="s">
        <v>974</v>
      </c>
      <c r="D139" s="8" t="s">
        <v>259</v>
      </c>
      <c r="E139" s="8">
        <v>4150624110</v>
      </c>
      <c r="F139" s="8">
        <v>9.1999999999999993</v>
      </c>
      <c r="G139" s="8">
        <v>10</v>
      </c>
      <c r="H139" s="8">
        <v>10</v>
      </c>
      <c r="I139" s="8">
        <v>10</v>
      </c>
      <c r="J139" s="8">
        <v>7.5</v>
      </c>
      <c r="K139" s="8">
        <v>10</v>
      </c>
      <c r="L139" s="8">
        <v>10</v>
      </c>
      <c r="M139" s="8" t="s">
        <v>975</v>
      </c>
      <c r="N139" s="8"/>
      <c r="O139" s="8" t="s">
        <v>976</v>
      </c>
      <c r="P139" s="8"/>
    </row>
    <row r="140" spans="1:26" ht="12.75" hidden="1">
      <c r="A140" s="8" t="s">
        <v>18</v>
      </c>
      <c r="B140" s="9">
        <v>45430</v>
      </c>
      <c r="C140" s="8" t="s">
        <v>977</v>
      </c>
      <c r="D140" s="8" t="s">
        <v>105</v>
      </c>
      <c r="E140" s="8">
        <v>4325824039</v>
      </c>
      <c r="F140" s="8">
        <v>7.9</v>
      </c>
      <c r="G140" s="8">
        <v>10</v>
      </c>
      <c r="H140" s="8">
        <v>7.5</v>
      </c>
      <c r="I140" s="8">
        <v>10</v>
      </c>
      <c r="J140" s="8">
        <v>7.5</v>
      </c>
      <c r="K140" s="8">
        <v>7.5</v>
      </c>
      <c r="L140" s="8">
        <v>7.5</v>
      </c>
      <c r="M140" s="8"/>
      <c r="N140" s="8" t="s">
        <v>978</v>
      </c>
      <c r="O140" s="8"/>
      <c r="P140" s="8"/>
    </row>
    <row r="141" spans="1:26" ht="12.75" hidden="1">
      <c r="A141" s="8" t="s">
        <v>18</v>
      </c>
      <c r="B141" s="9">
        <v>45430</v>
      </c>
      <c r="C141" s="8" t="s">
        <v>979</v>
      </c>
      <c r="D141" s="8" t="s">
        <v>416</v>
      </c>
      <c r="E141" s="8">
        <v>4011402342</v>
      </c>
      <c r="F141" s="8">
        <v>7.5</v>
      </c>
      <c r="G141" s="8">
        <v>7.5</v>
      </c>
      <c r="H141" s="8">
        <v>5</v>
      </c>
      <c r="I141" s="8">
        <v>10</v>
      </c>
      <c r="J141" s="8">
        <v>5</v>
      </c>
      <c r="K141" s="8">
        <v>7.5</v>
      </c>
      <c r="L141" s="8">
        <v>5</v>
      </c>
      <c r="M141" s="8"/>
      <c r="N141" s="8"/>
      <c r="O141" s="8"/>
      <c r="P141" s="8"/>
    </row>
    <row r="142" spans="1:26" ht="12.75" hidden="1">
      <c r="A142" s="8" t="s">
        <v>18</v>
      </c>
      <c r="B142" s="9">
        <v>45431</v>
      </c>
      <c r="C142" s="8" t="s">
        <v>980</v>
      </c>
      <c r="D142" s="8" t="s">
        <v>25</v>
      </c>
      <c r="E142" s="8">
        <v>4944386640</v>
      </c>
      <c r="F142" s="8">
        <v>10</v>
      </c>
      <c r="G142" s="8">
        <v>10</v>
      </c>
      <c r="H142" s="8">
        <v>10</v>
      </c>
      <c r="I142" s="8">
        <v>10</v>
      </c>
      <c r="J142" s="8">
        <v>10</v>
      </c>
      <c r="K142" s="8">
        <v>10</v>
      </c>
      <c r="L142" s="8">
        <v>10</v>
      </c>
      <c r="M142" s="8" t="s">
        <v>981</v>
      </c>
      <c r="N142" s="8"/>
      <c r="O142" s="8"/>
      <c r="P142" s="8"/>
    </row>
    <row r="143" spans="1:26" ht="12.75" hidden="1">
      <c r="A143" s="8" t="s">
        <v>18</v>
      </c>
      <c r="B143" s="9">
        <v>45431</v>
      </c>
      <c r="C143" s="8" t="s">
        <v>982</v>
      </c>
      <c r="D143" s="8" t="s">
        <v>171</v>
      </c>
      <c r="E143" s="8">
        <v>4857713456</v>
      </c>
      <c r="F143" s="8">
        <v>7.5</v>
      </c>
      <c r="G143" s="8">
        <v>7.5</v>
      </c>
      <c r="H143" s="8">
        <v>7.5</v>
      </c>
      <c r="I143" s="8">
        <v>10</v>
      </c>
      <c r="J143" s="8">
        <v>5</v>
      </c>
      <c r="K143" s="8">
        <v>7.5</v>
      </c>
      <c r="L143" s="8">
        <v>7.5</v>
      </c>
      <c r="M143" s="8"/>
      <c r="N143" s="8"/>
      <c r="O143" s="8"/>
      <c r="P143" s="8"/>
    </row>
    <row r="144" spans="1:26" ht="12.75" hidden="1">
      <c r="A144" s="8" t="s">
        <v>18</v>
      </c>
      <c r="B144" s="9">
        <v>45431</v>
      </c>
      <c r="C144" s="8" t="s">
        <v>983</v>
      </c>
      <c r="D144" s="8" t="s">
        <v>25</v>
      </c>
      <c r="E144" s="8">
        <v>4552165350</v>
      </c>
      <c r="F144" s="8">
        <v>2.5</v>
      </c>
      <c r="G144" s="8">
        <v>2.5</v>
      </c>
      <c r="H144" s="8">
        <v>2.5</v>
      </c>
      <c r="I144" s="8">
        <v>2.5</v>
      </c>
      <c r="J144" s="8">
        <v>2.5</v>
      </c>
      <c r="K144" s="8">
        <v>2.5</v>
      </c>
      <c r="L144" s="8">
        <v>2.5</v>
      </c>
      <c r="M144" s="8"/>
      <c r="N144" s="8"/>
      <c r="O144" s="8"/>
      <c r="P144" s="8"/>
    </row>
    <row r="145" spans="1:16" ht="12.75" hidden="1">
      <c r="A145" s="8" t="s">
        <v>18</v>
      </c>
      <c r="B145" s="9">
        <v>45431</v>
      </c>
      <c r="C145" s="8" t="s">
        <v>984</v>
      </c>
      <c r="D145" s="8" t="s">
        <v>36</v>
      </c>
      <c r="E145" s="8">
        <v>4307919902</v>
      </c>
      <c r="F145" s="8">
        <v>7.9</v>
      </c>
      <c r="G145" s="8">
        <v>10</v>
      </c>
      <c r="H145" s="8">
        <v>10</v>
      </c>
      <c r="I145" s="8">
        <v>10</v>
      </c>
      <c r="J145" s="8">
        <v>5</v>
      </c>
      <c r="K145" s="8">
        <v>7.5</v>
      </c>
      <c r="L145" s="8">
        <v>10</v>
      </c>
      <c r="M145" s="8" t="s">
        <v>985</v>
      </c>
      <c r="N145" s="8" t="s">
        <v>986</v>
      </c>
      <c r="O145" s="8"/>
      <c r="P145" s="8"/>
    </row>
    <row r="146" spans="1:16" ht="12.75" hidden="1">
      <c r="A146" s="39" t="s">
        <v>18</v>
      </c>
      <c r="B146" s="40">
        <v>45431</v>
      </c>
      <c r="C146" s="39" t="s">
        <v>792</v>
      </c>
      <c r="D146" s="39" t="s">
        <v>60</v>
      </c>
      <c r="E146" s="39">
        <v>4576552176</v>
      </c>
      <c r="F146" s="39">
        <v>4.5</v>
      </c>
      <c r="G146" s="39">
        <v>5</v>
      </c>
      <c r="H146" s="39">
        <v>5</v>
      </c>
      <c r="I146" s="39">
        <v>10</v>
      </c>
      <c r="J146" s="39">
        <v>2.5</v>
      </c>
      <c r="K146" s="39">
        <v>7.5</v>
      </c>
      <c r="L146" s="39">
        <v>2.5</v>
      </c>
      <c r="M146" s="39" t="s">
        <v>987</v>
      </c>
      <c r="N146" s="39" t="s">
        <v>988</v>
      </c>
      <c r="O146" s="39"/>
      <c r="P146" s="8"/>
    </row>
    <row r="147" spans="1:16" ht="12.75" hidden="1">
      <c r="A147" s="8" t="s">
        <v>18</v>
      </c>
      <c r="B147" s="9">
        <v>45431</v>
      </c>
      <c r="C147" s="8" t="s">
        <v>989</v>
      </c>
      <c r="D147" s="8" t="s">
        <v>54</v>
      </c>
      <c r="E147" s="8">
        <v>4744256230</v>
      </c>
      <c r="F147" s="8">
        <v>5.3</v>
      </c>
      <c r="G147" s="8">
        <v>5</v>
      </c>
      <c r="H147" s="8">
        <v>5</v>
      </c>
      <c r="I147" s="8">
        <v>7.5</v>
      </c>
      <c r="J147" s="8">
        <v>5</v>
      </c>
      <c r="K147" s="8">
        <v>5</v>
      </c>
      <c r="L147" s="8">
        <v>5</v>
      </c>
      <c r="M147" s="8"/>
      <c r="N147" s="8"/>
      <c r="O147" s="8"/>
      <c r="P147" s="8"/>
    </row>
    <row r="148" spans="1:16" ht="12.75" hidden="1">
      <c r="A148" s="8" t="s">
        <v>18</v>
      </c>
      <c r="B148" s="9">
        <v>45431</v>
      </c>
      <c r="C148" s="8" t="s">
        <v>990</v>
      </c>
      <c r="D148" s="8" t="s">
        <v>991</v>
      </c>
      <c r="E148" s="8">
        <v>4737633163</v>
      </c>
      <c r="F148" s="8">
        <v>9.5</v>
      </c>
      <c r="G148" s="8">
        <v>10</v>
      </c>
      <c r="H148" s="8">
        <v>10</v>
      </c>
      <c r="I148" s="8">
        <v>10</v>
      </c>
      <c r="J148" s="8">
        <v>7.5</v>
      </c>
      <c r="K148" s="8">
        <v>10</v>
      </c>
      <c r="L148" s="8">
        <v>10</v>
      </c>
      <c r="M148" s="8" t="s">
        <v>992</v>
      </c>
      <c r="N148" s="8" t="s">
        <v>993</v>
      </c>
      <c r="O148" s="8"/>
      <c r="P148" s="8"/>
    </row>
    <row r="149" spans="1:16" ht="12.75" hidden="1">
      <c r="A149" s="8" t="s">
        <v>18</v>
      </c>
      <c r="B149" s="9">
        <v>45431</v>
      </c>
      <c r="C149" s="8" t="s">
        <v>994</v>
      </c>
      <c r="D149" s="8" t="s">
        <v>105</v>
      </c>
      <c r="E149" s="8">
        <v>4549892604</v>
      </c>
      <c r="F149" s="8">
        <v>8.1</v>
      </c>
      <c r="G149" s="8">
        <v>10</v>
      </c>
      <c r="H149" s="8">
        <v>7.5</v>
      </c>
      <c r="I149" s="8">
        <v>10</v>
      </c>
      <c r="J149" s="8">
        <v>5</v>
      </c>
      <c r="K149" s="8">
        <v>10</v>
      </c>
      <c r="L149" s="8">
        <v>5</v>
      </c>
      <c r="M149" s="8" t="s">
        <v>995</v>
      </c>
      <c r="N149" s="8" t="s">
        <v>996</v>
      </c>
      <c r="O149" s="8"/>
      <c r="P149" s="8"/>
    </row>
    <row r="150" spans="1:16" ht="12.75" hidden="1">
      <c r="A150" s="8" t="s">
        <v>18</v>
      </c>
      <c r="B150" s="9">
        <v>45431</v>
      </c>
      <c r="C150" s="8" t="s">
        <v>997</v>
      </c>
      <c r="D150" s="8" t="s">
        <v>105</v>
      </c>
      <c r="E150" s="8">
        <v>4474834177</v>
      </c>
      <c r="F150" s="8">
        <v>7</v>
      </c>
      <c r="G150" s="8">
        <v>7.5</v>
      </c>
      <c r="H150" s="8">
        <v>7.5</v>
      </c>
      <c r="I150" s="8">
        <v>10</v>
      </c>
      <c r="J150" s="8">
        <v>5</v>
      </c>
      <c r="K150" s="8">
        <v>5</v>
      </c>
      <c r="L150" s="8">
        <v>10</v>
      </c>
      <c r="M150" s="8" t="s">
        <v>998</v>
      </c>
      <c r="N150" s="8" t="s">
        <v>999</v>
      </c>
      <c r="O150" s="8"/>
      <c r="P150" s="8"/>
    </row>
    <row r="151" spans="1:16" ht="12.75" hidden="1">
      <c r="A151" s="8" t="s">
        <v>18</v>
      </c>
      <c r="B151" s="9">
        <v>45431</v>
      </c>
      <c r="C151" s="8" t="s">
        <v>1000</v>
      </c>
      <c r="D151" s="8" t="s">
        <v>60</v>
      </c>
      <c r="E151" s="8">
        <v>4489776303</v>
      </c>
      <c r="F151" s="8">
        <v>6.2</v>
      </c>
      <c r="G151" s="8">
        <v>7.5</v>
      </c>
      <c r="H151" s="8">
        <v>5</v>
      </c>
      <c r="I151" s="8">
        <v>10</v>
      </c>
      <c r="J151" s="8">
        <v>7.5</v>
      </c>
      <c r="K151" s="8">
        <v>2.5</v>
      </c>
      <c r="L151" s="8">
        <v>7.5</v>
      </c>
      <c r="M151" s="8"/>
      <c r="N151" s="8"/>
      <c r="O151" s="8"/>
      <c r="P151" s="8"/>
    </row>
    <row r="152" spans="1:16" ht="12.75" hidden="1">
      <c r="A152" s="8" t="s">
        <v>18</v>
      </c>
      <c r="B152" s="9">
        <v>45431</v>
      </c>
      <c r="C152" s="8" t="s">
        <v>1001</v>
      </c>
      <c r="D152" s="8" t="s">
        <v>433</v>
      </c>
      <c r="E152" s="8">
        <v>4917846623</v>
      </c>
      <c r="F152" s="8">
        <v>10</v>
      </c>
      <c r="G152" s="8">
        <v>10</v>
      </c>
      <c r="H152" s="8">
        <v>10</v>
      </c>
      <c r="I152" s="8">
        <v>10</v>
      </c>
      <c r="J152" s="8">
        <v>10</v>
      </c>
      <c r="K152" s="8">
        <v>10</v>
      </c>
      <c r="L152" s="8">
        <v>10</v>
      </c>
      <c r="M152" s="8"/>
      <c r="N152" s="8"/>
      <c r="O152" s="8"/>
      <c r="P152" s="8"/>
    </row>
    <row r="153" spans="1:16" ht="12.75" hidden="1">
      <c r="A153" s="8" t="s">
        <v>18</v>
      </c>
      <c r="B153" s="9">
        <v>45432</v>
      </c>
      <c r="C153" s="8" t="s">
        <v>1002</v>
      </c>
      <c r="D153" s="8" t="s">
        <v>105</v>
      </c>
      <c r="E153" s="8"/>
      <c r="F153" s="8">
        <v>4.2</v>
      </c>
      <c r="G153" s="8">
        <v>7.5</v>
      </c>
      <c r="H153" s="8">
        <v>2.5</v>
      </c>
      <c r="I153" s="8">
        <v>7.5</v>
      </c>
      <c r="J153" s="8">
        <v>2.5</v>
      </c>
      <c r="K153" s="8">
        <v>5</v>
      </c>
      <c r="L153" s="8">
        <v>2.5</v>
      </c>
      <c r="M153" s="8"/>
      <c r="N153" s="8" t="s">
        <v>1003</v>
      </c>
      <c r="O153" s="8"/>
      <c r="P153" s="8"/>
    </row>
    <row r="154" spans="1:16" ht="12.75" hidden="1">
      <c r="A154" s="8" t="s">
        <v>18</v>
      </c>
      <c r="B154" s="9">
        <v>45432</v>
      </c>
      <c r="C154" s="8" t="s">
        <v>1004</v>
      </c>
      <c r="D154" s="8" t="s">
        <v>25</v>
      </c>
      <c r="E154" s="8">
        <v>4649003268</v>
      </c>
      <c r="F154" s="8">
        <v>4.5999999999999996</v>
      </c>
      <c r="G154" s="8">
        <v>5</v>
      </c>
      <c r="H154" s="8">
        <v>2.5</v>
      </c>
      <c r="I154" s="8">
        <v>10</v>
      </c>
      <c r="J154" s="8">
        <v>5</v>
      </c>
      <c r="K154" s="8">
        <v>5</v>
      </c>
      <c r="L154" s="8">
        <v>2.5</v>
      </c>
      <c r="M154" s="8" t="s">
        <v>1005</v>
      </c>
      <c r="N154" s="8" t="s">
        <v>1006</v>
      </c>
      <c r="O154" s="8"/>
      <c r="P154" s="8"/>
    </row>
    <row r="155" spans="1:16" ht="12.75" hidden="1">
      <c r="A155" s="8" t="s">
        <v>18</v>
      </c>
      <c r="B155" s="9">
        <v>45432</v>
      </c>
      <c r="C155" s="8" t="s">
        <v>1007</v>
      </c>
      <c r="D155" s="8" t="s">
        <v>60</v>
      </c>
      <c r="E155" s="8">
        <v>4818843440</v>
      </c>
      <c r="F155" s="8">
        <v>10</v>
      </c>
      <c r="G155" s="8">
        <v>10</v>
      </c>
      <c r="H155" s="8">
        <v>10</v>
      </c>
      <c r="I155" s="8">
        <v>10</v>
      </c>
      <c r="J155" s="8">
        <v>10</v>
      </c>
      <c r="K155" s="8">
        <v>10</v>
      </c>
      <c r="L155" s="8">
        <v>10</v>
      </c>
      <c r="M155" s="8" t="s">
        <v>1008</v>
      </c>
      <c r="N155" s="8" t="s">
        <v>1009</v>
      </c>
      <c r="O155" s="8" t="s">
        <v>1010</v>
      </c>
      <c r="P155" s="8"/>
    </row>
    <row r="156" spans="1:16" ht="12.75" hidden="1">
      <c r="A156" s="8" t="s">
        <v>18</v>
      </c>
      <c r="B156" s="9">
        <v>45432</v>
      </c>
      <c r="C156" s="8" t="s">
        <v>1011</v>
      </c>
      <c r="D156" s="8" t="s">
        <v>54</v>
      </c>
      <c r="E156" s="8">
        <v>4906797894</v>
      </c>
      <c r="F156" s="8">
        <v>9</v>
      </c>
      <c r="G156" s="8">
        <v>7.5</v>
      </c>
      <c r="H156" s="8">
        <v>10</v>
      </c>
      <c r="I156" s="8">
        <v>10</v>
      </c>
      <c r="J156" s="8">
        <v>10</v>
      </c>
      <c r="K156" s="8">
        <v>7.5</v>
      </c>
      <c r="L156" s="8">
        <v>10</v>
      </c>
      <c r="M156" s="8"/>
      <c r="N156" s="8"/>
      <c r="O156" s="8"/>
      <c r="P156" s="8"/>
    </row>
    <row r="157" spans="1:16" ht="12.75" hidden="1">
      <c r="A157" s="8" t="s">
        <v>18</v>
      </c>
      <c r="B157" s="9">
        <v>45432</v>
      </c>
      <c r="C157" s="8" t="s">
        <v>1012</v>
      </c>
      <c r="D157" s="8" t="s">
        <v>1013</v>
      </c>
      <c r="E157" s="8">
        <v>4923748513</v>
      </c>
      <c r="F157" s="8">
        <v>6</v>
      </c>
      <c r="G157" s="8">
        <v>7.5</v>
      </c>
      <c r="H157" s="8">
        <v>5</v>
      </c>
      <c r="I157" s="8">
        <v>10</v>
      </c>
      <c r="J157" s="8">
        <v>5</v>
      </c>
      <c r="K157" s="8">
        <v>7.5</v>
      </c>
      <c r="L157" s="8">
        <v>10</v>
      </c>
      <c r="M157" s="8"/>
      <c r="N157" s="8"/>
      <c r="O157" s="8"/>
      <c r="P157" s="8"/>
    </row>
    <row r="158" spans="1:16" ht="12.75" hidden="1">
      <c r="A158" s="8" t="s">
        <v>18</v>
      </c>
      <c r="B158" s="9">
        <v>45432</v>
      </c>
      <c r="C158" s="8" t="s">
        <v>1014</v>
      </c>
      <c r="D158" s="8" t="s">
        <v>259</v>
      </c>
      <c r="E158" s="8">
        <v>4959600229</v>
      </c>
      <c r="F158" s="8">
        <v>7</v>
      </c>
      <c r="G158" s="8">
        <v>10</v>
      </c>
      <c r="H158" s="8">
        <v>7.5</v>
      </c>
      <c r="I158" s="8">
        <v>7.5</v>
      </c>
      <c r="J158" s="8">
        <v>7.5</v>
      </c>
      <c r="K158" s="8">
        <v>7.5</v>
      </c>
      <c r="L158" s="8">
        <v>7.5</v>
      </c>
      <c r="M158" s="8" t="s">
        <v>1015</v>
      </c>
      <c r="N158" s="8"/>
      <c r="O158" s="8"/>
      <c r="P158" s="8"/>
    </row>
    <row r="159" spans="1:16" ht="12.75" hidden="1">
      <c r="A159" s="8" t="s">
        <v>18</v>
      </c>
      <c r="B159" s="9">
        <v>45432</v>
      </c>
      <c r="C159" s="8" t="s">
        <v>1016</v>
      </c>
      <c r="D159" s="8" t="s">
        <v>60</v>
      </c>
      <c r="E159" s="8">
        <v>4548257882</v>
      </c>
      <c r="F159" s="8">
        <v>5</v>
      </c>
      <c r="G159" s="8">
        <v>7.5</v>
      </c>
      <c r="H159" s="8">
        <v>5</v>
      </c>
      <c r="I159" s="8">
        <v>10</v>
      </c>
      <c r="J159" s="8">
        <v>5</v>
      </c>
      <c r="K159" s="8">
        <v>2.5</v>
      </c>
      <c r="L159" s="8">
        <v>2.5</v>
      </c>
      <c r="M159" s="8" t="s">
        <v>1017</v>
      </c>
      <c r="N159" s="8" t="s">
        <v>1018</v>
      </c>
      <c r="O159" s="8"/>
      <c r="P159" s="8"/>
    </row>
    <row r="160" spans="1:16" ht="12.75" hidden="1">
      <c r="A160" s="8" t="s">
        <v>18</v>
      </c>
      <c r="B160" s="9">
        <v>45432</v>
      </c>
      <c r="C160" s="8" t="s">
        <v>1019</v>
      </c>
      <c r="D160" s="8" t="s">
        <v>847</v>
      </c>
      <c r="E160" s="8">
        <v>4489834986</v>
      </c>
      <c r="F160" s="8">
        <v>10</v>
      </c>
      <c r="G160" s="8">
        <v>10</v>
      </c>
      <c r="H160" s="8">
        <v>10</v>
      </c>
      <c r="I160" s="8">
        <v>10</v>
      </c>
      <c r="J160" s="8">
        <v>10</v>
      </c>
      <c r="K160" s="8">
        <v>10</v>
      </c>
      <c r="L160" s="8">
        <v>10</v>
      </c>
      <c r="M160" s="8" t="s">
        <v>1020</v>
      </c>
      <c r="N160" s="8"/>
      <c r="O160" s="8" t="s">
        <v>1021</v>
      </c>
      <c r="P160" s="8"/>
    </row>
    <row r="161" spans="1:16" ht="12.75" hidden="1">
      <c r="A161" s="8" t="s">
        <v>18</v>
      </c>
      <c r="B161" s="9">
        <v>45433</v>
      </c>
      <c r="C161" s="8" t="s">
        <v>1022</v>
      </c>
      <c r="D161" s="8" t="s">
        <v>85</v>
      </c>
      <c r="E161" s="8">
        <v>4231030283</v>
      </c>
      <c r="F161" s="8">
        <v>6</v>
      </c>
      <c r="G161" s="8">
        <v>7.5</v>
      </c>
      <c r="H161" s="8">
        <v>5</v>
      </c>
      <c r="I161" s="8">
        <v>7.5</v>
      </c>
      <c r="J161" s="8">
        <v>5</v>
      </c>
      <c r="K161" s="8">
        <v>5</v>
      </c>
      <c r="L161" s="8">
        <v>5</v>
      </c>
      <c r="M161" s="8" t="s">
        <v>1023</v>
      </c>
      <c r="N161" s="8" t="s">
        <v>1024</v>
      </c>
      <c r="O161" s="8"/>
      <c r="P161" s="8"/>
    </row>
    <row r="162" spans="1:16" ht="12.75" hidden="1">
      <c r="A162" s="8" t="s">
        <v>18</v>
      </c>
      <c r="B162" s="9">
        <v>45433</v>
      </c>
      <c r="C162" s="8" t="s">
        <v>1025</v>
      </c>
      <c r="D162" s="8" t="s">
        <v>105</v>
      </c>
      <c r="E162" s="8">
        <v>4059759297</v>
      </c>
      <c r="F162" s="8">
        <v>7</v>
      </c>
      <c r="G162" s="8">
        <v>10</v>
      </c>
      <c r="H162" s="8">
        <v>5</v>
      </c>
      <c r="I162" s="8">
        <v>10</v>
      </c>
      <c r="J162" s="8">
        <v>7.5</v>
      </c>
      <c r="K162" s="8">
        <v>5</v>
      </c>
      <c r="L162" s="8">
        <v>7.5</v>
      </c>
      <c r="M162" s="8"/>
      <c r="N162" s="8"/>
      <c r="O162" s="8"/>
      <c r="P162" s="8"/>
    </row>
    <row r="163" spans="1:16" ht="12.75" hidden="1">
      <c r="A163" s="8" t="s">
        <v>18</v>
      </c>
      <c r="B163" s="9">
        <v>45433</v>
      </c>
      <c r="C163" s="8" t="s">
        <v>1026</v>
      </c>
      <c r="D163" s="8" t="s">
        <v>469</v>
      </c>
      <c r="E163" s="8">
        <v>4026684279</v>
      </c>
      <c r="F163" s="8">
        <v>7</v>
      </c>
      <c r="G163" s="8">
        <v>10</v>
      </c>
      <c r="H163" s="8">
        <v>5</v>
      </c>
      <c r="I163" s="8">
        <v>10</v>
      </c>
      <c r="J163" s="8">
        <v>7.5</v>
      </c>
      <c r="K163" s="8">
        <v>7.5</v>
      </c>
      <c r="L163" s="8">
        <v>7.5</v>
      </c>
      <c r="M163" s="8"/>
      <c r="N163" s="8"/>
      <c r="O163" s="8"/>
      <c r="P163" s="8"/>
    </row>
    <row r="164" spans="1:16" ht="12.75" hidden="1">
      <c r="A164" s="8" t="s">
        <v>18</v>
      </c>
      <c r="B164" s="9">
        <v>45433</v>
      </c>
      <c r="C164" s="8" t="s">
        <v>1027</v>
      </c>
      <c r="D164" s="8" t="s">
        <v>595</v>
      </c>
      <c r="E164" s="8">
        <v>4867801440</v>
      </c>
      <c r="F164" s="8">
        <v>8</v>
      </c>
      <c r="G164" s="8">
        <v>7.5</v>
      </c>
      <c r="H164" s="8">
        <v>7.5</v>
      </c>
      <c r="I164" s="8">
        <v>10</v>
      </c>
      <c r="J164" s="8">
        <v>7.5</v>
      </c>
      <c r="K164" s="8">
        <v>7.5</v>
      </c>
      <c r="L164" s="8">
        <v>7.5</v>
      </c>
      <c r="M164" s="8"/>
      <c r="N164" s="8"/>
      <c r="O164" s="8"/>
      <c r="P164" s="8"/>
    </row>
    <row r="165" spans="1:16" ht="12.75" hidden="1">
      <c r="A165" s="8" t="s">
        <v>18</v>
      </c>
      <c r="B165" s="9">
        <v>45433</v>
      </c>
      <c r="C165" s="8" t="s">
        <v>832</v>
      </c>
      <c r="D165" s="8" t="s">
        <v>33</v>
      </c>
      <c r="E165" s="8">
        <v>4250579325</v>
      </c>
      <c r="F165" s="8">
        <v>8</v>
      </c>
      <c r="G165" s="8">
        <v>10</v>
      </c>
      <c r="H165" s="8">
        <v>7.5</v>
      </c>
      <c r="I165" s="8">
        <v>10</v>
      </c>
      <c r="J165" s="8">
        <v>7.5</v>
      </c>
      <c r="K165" s="8">
        <v>10</v>
      </c>
      <c r="L165" s="8">
        <v>10</v>
      </c>
      <c r="M165" s="8" t="s">
        <v>1028</v>
      </c>
      <c r="N165" s="8" t="s">
        <v>1029</v>
      </c>
      <c r="O165" s="8" t="s">
        <v>1030</v>
      </c>
      <c r="P165" s="8"/>
    </row>
    <row r="166" spans="1:16" ht="12.75" hidden="1">
      <c r="A166" s="8" t="s">
        <v>18</v>
      </c>
      <c r="B166" s="9">
        <v>45434</v>
      </c>
      <c r="C166" s="8" t="s">
        <v>586</v>
      </c>
      <c r="D166" s="8" t="s">
        <v>595</v>
      </c>
      <c r="E166" s="8">
        <v>4409718952</v>
      </c>
      <c r="F166" s="8">
        <v>8</v>
      </c>
      <c r="G166" s="8">
        <v>10</v>
      </c>
      <c r="H166" s="8">
        <v>7.5</v>
      </c>
      <c r="I166" s="8">
        <v>10</v>
      </c>
      <c r="J166" s="8">
        <v>7.5</v>
      </c>
      <c r="K166" s="8">
        <v>10</v>
      </c>
      <c r="L166" s="8">
        <v>10</v>
      </c>
      <c r="M166" s="8" t="s">
        <v>1031</v>
      </c>
      <c r="N166" s="8" t="s">
        <v>1032</v>
      </c>
      <c r="O166" s="8" t="s">
        <v>1033</v>
      </c>
      <c r="P166" s="8"/>
    </row>
    <row r="167" spans="1:16" ht="12.75" hidden="1">
      <c r="A167" s="8" t="s">
        <v>18</v>
      </c>
      <c r="B167" s="9">
        <v>45434</v>
      </c>
      <c r="C167" s="8" t="s">
        <v>590</v>
      </c>
      <c r="D167" s="8" t="s">
        <v>317</v>
      </c>
      <c r="E167" s="8">
        <v>4257097596</v>
      </c>
      <c r="F167" s="8">
        <v>8</v>
      </c>
      <c r="G167" s="8">
        <v>7.5</v>
      </c>
      <c r="H167" s="8">
        <v>10</v>
      </c>
      <c r="I167" s="8">
        <v>10</v>
      </c>
      <c r="J167" s="8">
        <v>7.5</v>
      </c>
      <c r="K167" s="8">
        <v>7.5</v>
      </c>
      <c r="L167" s="8">
        <v>10</v>
      </c>
      <c r="M167" s="8" t="s">
        <v>1034</v>
      </c>
      <c r="N167" s="8" t="s">
        <v>1035</v>
      </c>
      <c r="O167" s="8"/>
      <c r="P167" s="8"/>
    </row>
    <row r="168" spans="1:16" ht="12.75" hidden="1">
      <c r="A168" s="8" t="s">
        <v>18</v>
      </c>
      <c r="B168" s="9">
        <v>45434</v>
      </c>
      <c r="C168" s="8" t="s">
        <v>1036</v>
      </c>
      <c r="D168" s="8" t="s">
        <v>58</v>
      </c>
      <c r="E168" s="8">
        <v>4087269239</v>
      </c>
      <c r="F168" s="8">
        <v>8</v>
      </c>
      <c r="G168" s="8">
        <v>10</v>
      </c>
      <c r="H168" s="8">
        <v>10</v>
      </c>
      <c r="I168" s="8">
        <v>10</v>
      </c>
      <c r="J168" s="8">
        <v>7.5</v>
      </c>
      <c r="K168" s="8">
        <v>7.5</v>
      </c>
      <c r="L168" s="8">
        <v>10</v>
      </c>
      <c r="M168" s="8" t="s">
        <v>1037</v>
      </c>
      <c r="N168" s="8" t="s">
        <v>1038</v>
      </c>
      <c r="O168" s="8" t="s">
        <v>1039</v>
      </c>
      <c r="P168" s="8"/>
    </row>
    <row r="169" spans="1:16" ht="12.75" hidden="1">
      <c r="A169" s="8" t="s">
        <v>18</v>
      </c>
      <c r="B169" s="9">
        <v>45434</v>
      </c>
      <c r="C169" s="8" t="s">
        <v>1040</v>
      </c>
      <c r="D169" s="8" t="s">
        <v>252</v>
      </c>
      <c r="E169" s="8">
        <v>4085478510</v>
      </c>
      <c r="F169" s="8">
        <v>8</v>
      </c>
      <c r="G169" s="8">
        <v>7.5</v>
      </c>
      <c r="H169" s="8">
        <v>5</v>
      </c>
      <c r="I169" s="8">
        <v>10</v>
      </c>
      <c r="J169" s="8">
        <v>5</v>
      </c>
      <c r="K169" s="8">
        <v>7.5</v>
      </c>
      <c r="L169" s="8">
        <v>10</v>
      </c>
      <c r="M169" s="8" t="s">
        <v>1041</v>
      </c>
      <c r="N169" s="8" t="s">
        <v>1042</v>
      </c>
      <c r="O169" s="8"/>
      <c r="P169" s="8"/>
    </row>
    <row r="170" spans="1:16" ht="12.75" hidden="1">
      <c r="A170" s="8" t="s">
        <v>18</v>
      </c>
      <c r="B170" s="9">
        <v>45434</v>
      </c>
      <c r="C170" s="8" t="s">
        <v>1043</v>
      </c>
      <c r="D170" s="8" t="s">
        <v>25</v>
      </c>
      <c r="E170" s="8">
        <v>4857253078</v>
      </c>
      <c r="F170" s="8">
        <v>6</v>
      </c>
      <c r="G170" s="8">
        <v>7.5</v>
      </c>
      <c r="H170" s="8">
        <v>5</v>
      </c>
      <c r="I170" s="8">
        <v>10</v>
      </c>
      <c r="J170" s="8">
        <v>5</v>
      </c>
      <c r="K170" s="8">
        <v>7.5</v>
      </c>
      <c r="L170" s="8">
        <v>2.5</v>
      </c>
      <c r="M170" s="8" t="s">
        <v>1044</v>
      </c>
      <c r="N170" s="8" t="s">
        <v>1045</v>
      </c>
      <c r="O170" s="8" t="s">
        <v>1046</v>
      </c>
      <c r="P170" s="8"/>
    </row>
    <row r="171" spans="1:16" ht="12.75" hidden="1">
      <c r="A171" s="8" t="s">
        <v>18</v>
      </c>
      <c r="B171" s="9">
        <v>45435</v>
      </c>
      <c r="C171" s="8" t="s">
        <v>1047</v>
      </c>
      <c r="D171" s="8" t="s">
        <v>25</v>
      </c>
      <c r="E171" s="8">
        <v>4655940299</v>
      </c>
      <c r="F171" s="8">
        <v>1</v>
      </c>
      <c r="G171" s="8">
        <v>2.5</v>
      </c>
      <c r="H171" s="8">
        <v>2.5</v>
      </c>
      <c r="I171" s="8">
        <v>2.5</v>
      </c>
      <c r="J171" s="8">
        <v>2.5</v>
      </c>
      <c r="K171" s="8">
        <v>2.5</v>
      </c>
      <c r="L171" s="8">
        <v>2.5</v>
      </c>
      <c r="M171" s="8"/>
      <c r="N171" s="8"/>
      <c r="O171" s="8"/>
      <c r="P171" s="8"/>
    </row>
    <row r="172" spans="1:16" ht="12.75" hidden="1">
      <c r="A172" s="8" t="s">
        <v>18</v>
      </c>
      <c r="B172" s="9">
        <v>45435</v>
      </c>
      <c r="C172" s="8" t="s">
        <v>1048</v>
      </c>
      <c r="D172" s="8" t="s">
        <v>54</v>
      </c>
      <c r="E172" s="8">
        <v>4277607042</v>
      </c>
      <c r="F172" s="8">
        <v>8</v>
      </c>
      <c r="G172" s="8">
        <v>5</v>
      </c>
      <c r="H172" s="8">
        <v>7.5</v>
      </c>
      <c r="I172" s="8">
        <v>10</v>
      </c>
      <c r="J172" s="8">
        <v>7.5</v>
      </c>
      <c r="K172" s="8">
        <v>5</v>
      </c>
      <c r="L172" s="8">
        <v>7.5</v>
      </c>
      <c r="M172" s="8"/>
      <c r="N172" s="8"/>
      <c r="O172" s="8"/>
      <c r="P172" s="8"/>
    </row>
    <row r="173" spans="1:16" ht="12.75" hidden="1">
      <c r="A173" s="8" t="s">
        <v>18</v>
      </c>
      <c r="B173" s="9">
        <v>45435</v>
      </c>
      <c r="C173" s="8" t="s">
        <v>1049</v>
      </c>
      <c r="D173" s="8" t="s">
        <v>1050</v>
      </c>
      <c r="E173" s="8">
        <v>4641522423</v>
      </c>
      <c r="F173" s="8">
        <v>5.5</v>
      </c>
      <c r="G173" s="8">
        <v>7.5</v>
      </c>
      <c r="H173" s="8">
        <v>5</v>
      </c>
      <c r="I173" s="8">
        <v>10</v>
      </c>
      <c r="J173" s="8">
        <v>5</v>
      </c>
      <c r="K173" s="8">
        <v>5</v>
      </c>
      <c r="L173" s="8">
        <v>7.5</v>
      </c>
      <c r="M173" s="8"/>
      <c r="N173" s="8"/>
      <c r="O173" s="8"/>
      <c r="P173" s="8"/>
    </row>
    <row r="174" spans="1:16" ht="12.75" hidden="1">
      <c r="A174" s="8" t="s">
        <v>18</v>
      </c>
      <c r="B174" s="9">
        <v>45435</v>
      </c>
      <c r="C174" s="8" t="s">
        <v>1051</v>
      </c>
      <c r="D174" s="8" t="s">
        <v>105</v>
      </c>
      <c r="E174" s="8">
        <v>4980417971</v>
      </c>
      <c r="F174" s="8">
        <v>7</v>
      </c>
      <c r="G174" s="8">
        <v>7.5</v>
      </c>
      <c r="H174" s="8">
        <v>5</v>
      </c>
      <c r="I174" s="8">
        <v>10</v>
      </c>
      <c r="J174" s="8">
        <v>5</v>
      </c>
      <c r="K174" s="8">
        <v>5</v>
      </c>
      <c r="L174" s="8">
        <v>7.5</v>
      </c>
      <c r="M174" s="8"/>
      <c r="N174" s="8" t="s">
        <v>1052</v>
      </c>
      <c r="O174" s="8" t="s">
        <v>1053</v>
      </c>
      <c r="P174" s="8"/>
    </row>
    <row r="175" spans="1:16" ht="12.75" hidden="1">
      <c r="A175" s="8" t="s">
        <v>18</v>
      </c>
      <c r="B175" s="9">
        <v>45435</v>
      </c>
      <c r="C175" s="8" t="s">
        <v>759</v>
      </c>
      <c r="D175" s="8" t="s">
        <v>93</v>
      </c>
      <c r="E175" s="8">
        <v>4399937543</v>
      </c>
      <c r="F175" s="8">
        <v>8.3000000000000007</v>
      </c>
      <c r="G175" s="8">
        <v>10</v>
      </c>
      <c r="H175" s="8">
        <v>7.5</v>
      </c>
      <c r="I175" s="8">
        <v>10</v>
      </c>
      <c r="J175" s="8">
        <v>10</v>
      </c>
      <c r="K175" s="8">
        <v>7.5</v>
      </c>
      <c r="L175" s="8">
        <v>7.5</v>
      </c>
      <c r="M175" s="8"/>
      <c r="N175" s="8"/>
      <c r="O175" s="8"/>
      <c r="P175" s="8"/>
    </row>
    <row r="176" spans="1:16" ht="12.75" hidden="1">
      <c r="A176" s="8" t="s">
        <v>18</v>
      </c>
      <c r="B176" s="9">
        <v>45436</v>
      </c>
      <c r="C176" s="8" t="s">
        <v>133</v>
      </c>
      <c r="D176" s="8" t="s">
        <v>93</v>
      </c>
      <c r="E176" s="8">
        <v>4035732445</v>
      </c>
      <c r="F176" s="8">
        <v>10</v>
      </c>
      <c r="G176" s="8">
        <v>10</v>
      </c>
      <c r="H176" s="8">
        <v>10</v>
      </c>
      <c r="I176" s="8">
        <v>10</v>
      </c>
      <c r="J176" s="8">
        <v>10</v>
      </c>
      <c r="K176" s="8">
        <v>10</v>
      </c>
      <c r="L176" s="8">
        <v>10</v>
      </c>
      <c r="M176" s="8"/>
      <c r="N176" s="8"/>
      <c r="O176" s="8"/>
      <c r="P176" s="8"/>
    </row>
    <row r="177" spans="1:26" ht="12.75" hidden="1">
      <c r="A177" s="8" t="s">
        <v>18</v>
      </c>
      <c r="B177" s="9">
        <v>45436</v>
      </c>
      <c r="C177" s="8" t="s">
        <v>1054</v>
      </c>
      <c r="D177" s="8" t="s">
        <v>1050</v>
      </c>
      <c r="E177" s="8">
        <v>4483694657</v>
      </c>
      <c r="F177" s="8">
        <v>8</v>
      </c>
      <c r="G177" s="8">
        <v>7.5</v>
      </c>
      <c r="H177" s="8">
        <v>10</v>
      </c>
      <c r="I177" s="8">
        <v>10</v>
      </c>
      <c r="J177" s="8">
        <v>7.5</v>
      </c>
      <c r="K177" s="8">
        <v>7.5</v>
      </c>
      <c r="L177" s="8">
        <v>7.5</v>
      </c>
      <c r="M177" s="8"/>
      <c r="N177" s="8"/>
      <c r="O177" s="8"/>
      <c r="P177" s="8"/>
      <c r="Q177" s="8"/>
      <c r="R177" s="8"/>
      <c r="S177" s="8"/>
      <c r="T177" s="8"/>
      <c r="U177" s="8"/>
      <c r="V177" s="8"/>
      <c r="W177" s="8"/>
      <c r="X177" s="8"/>
      <c r="Y177" s="8"/>
      <c r="Z177" s="8"/>
    </row>
    <row r="178" spans="1:26" ht="12.75" hidden="1">
      <c r="A178" s="8" t="s">
        <v>18</v>
      </c>
      <c r="B178" s="9">
        <v>45436</v>
      </c>
      <c r="C178" s="8" t="s">
        <v>1055</v>
      </c>
      <c r="D178" s="8" t="s">
        <v>36</v>
      </c>
      <c r="E178" s="8">
        <v>4967586108</v>
      </c>
      <c r="F178" s="8">
        <v>7</v>
      </c>
      <c r="G178" s="8">
        <v>7.5</v>
      </c>
      <c r="H178" s="8">
        <v>5</v>
      </c>
      <c r="I178" s="8">
        <v>10</v>
      </c>
      <c r="J178" s="8">
        <v>7.5</v>
      </c>
      <c r="K178" s="8">
        <v>7.5</v>
      </c>
      <c r="L178" s="8">
        <v>10</v>
      </c>
      <c r="M178" s="8"/>
      <c r="N178" s="8"/>
      <c r="O178" s="8"/>
      <c r="P178" s="8"/>
    </row>
    <row r="179" spans="1:26" ht="12.75" hidden="1">
      <c r="A179" s="8" t="s">
        <v>18</v>
      </c>
      <c r="B179" s="9">
        <v>45436</v>
      </c>
      <c r="C179" s="8" t="s">
        <v>1056</v>
      </c>
      <c r="D179" s="8" t="s">
        <v>317</v>
      </c>
      <c r="E179" s="8">
        <v>4917859749</v>
      </c>
      <c r="F179" s="8">
        <v>7.5</v>
      </c>
      <c r="G179" s="8">
        <v>10</v>
      </c>
      <c r="H179" s="8">
        <v>7.5</v>
      </c>
      <c r="I179" s="8">
        <v>10</v>
      </c>
      <c r="J179" s="8">
        <v>7.5</v>
      </c>
      <c r="K179" s="8">
        <v>7.5</v>
      </c>
      <c r="L179" s="8">
        <v>7.5</v>
      </c>
      <c r="M179" s="8" t="s">
        <v>1057</v>
      </c>
      <c r="N179" s="8" t="s">
        <v>1058</v>
      </c>
      <c r="O179" s="8" t="s">
        <v>1059</v>
      </c>
      <c r="P179" s="8"/>
    </row>
    <row r="180" spans="1:26" ht="12.75" hidden="1">
      <c r="A180" s="8" t="s">
        <v>18</v>
      </c>
      <c r="B180" s="9">
        <v>45436</v>
      </c>
      <c r="C180" s="8" t="s">
        <v>1060</v>
      </c>
      <c r="D180" s="8" t="s">
        <v>60</v>
      </c>
      <c r="E180" s="8">
        <v>4016673931</v>
      </c>
      <c r="F180" s="8">
        <v>9</v>
      </c>
      <c r="G180" s="8">
        <v>10</v>
      </c>
      <c r="H180" s="8">
        <v>10</v>
      </c>
      <c r="I180" s="8">
        <v>10</v>
      </c>
      <c r="J180" s="8">
        <v>10</v>
      </c>
      <c r="K180" s="8">
        <v>10</v>
      </c>
      <c r="L180" s="8">
        <v>10</v>
      </c>
      <c r="M180" s="8" t="s">
        <v>1061</v>
      </c>
      <c r="N180" s="8"/>
      <c r="O180" s="8"/>
      <c r="P180" s="8"/>
    </row>
    <row r="181" spans="1:26" ht="12.75" hidden="1">
      <c r="A181" s="8" t="s">
        <v>18</v>
      </c>
      <c r="B181" s="9">
        <v>45436</v>
      </c>
      <c r="C181" s="8" t="s">
        <v>1062</v>
      </c>
      <c r="D181" s="8" t="s">
        <v>93</v>
      </c>
      <c r="E181" s="8">
        <v>4440960080</v>
      </c>
      <c r="F181" s="8">
        <v>8</v>
      </c>
      <c r="G181" s="8">
        <v>7.5</v>
      </c>
      <c r="H181" s="8">
        <v>7.5</v>
      </c>
      <c r="I181" s="8">
        <v>10</v>
      </c>
      <c r="J181" s="8">
        <v>7.5</v>
      </c>
      <c r="K181" s="8">
        <v>7.5</v>
      </c>
      <c r="L181" s="8">
        <v>10</v>
      </c>
      <c r="M181" s="8" t="s">
        <v>1063</v>
      </c>
      <c r="N181" s="8"/>
      <c r="O181" s="8" t="s">
        <v>56</v>
      </c>
      <c r="P181" s="8"/>
    </row>
    <row r="182" spans="1:26" ht="12.75" hidden="1">
      <c r="A182" s="8" t="s">
        <v>18</v>
      </c>
      <c r="B182" s="9">
        <v>45437</v>
      </c>
      <c r="C182" s="8" t="s">
        <v>1064</v>
      </c>
      <c r="D182" s="8" t="s">
        <v>259</v>
      </c>
      <c r="E182" s="8">
        <v>4688093856</v>
      </c>
      <c r="F182" s="8">
        <v>8</v>
      </c>
      <c r="G182" s="8">
        <v>10</v>
      </c>
      <c r="H182" s="8">
        <v>7.5</v>
      </c>
      <c r="I182" s="8">
        <v>10</v>
      </c>
      <c r="J182" s="8">
        <v>5</v>
      </c>
      <c r="K182" s="8">
        <v>7.5</v>
      </c>
      <c r="L182" s="8">
        <v>7.5</v>
      </c>
      <c r="M182" s="8"/>
      <c r="N182" s="8"/>
      <c r="O182" s="8"/>
      <c r="P182" s="8"/>
    </row>
    <row r="183" spans="1:26" ht="12.75" hidden="1">
      <c r="A183" s="8" t="s">
        <v>18</v>
      </c>
      <c r="B183" s="9">
        <v>45437</v>
      </c>
      <c r="C183" s="8" t="s">
        <v>1065</v>
      </c>
      <c r="D183" s="8" t="s">
        <v>54</v>
      </c>
      <c r="E183" s="8">
        <v>4147114925</v>
      </c>
      <c r="F183" s="8">
        <v>8</v>
      </c>
      <c r="G183" s="8">
        <v>10</v>
      </c>
      <c r="H183" s="8">
        <v>7.5</v>
      </c>
      <c r="I183" s="8">
        <v>10</v>
      </c>
      <c r="J183" s="8">
        <v>5</v>
      </c>
      <c r="K183" s="8">
        <v>7.5</v>
      </c>
      <c r="L183" s="8">
        <v>5</v>
      </c>
      <c r="M183" s="8"/>
      <c r="N183" s="8"/>
      <c r="O183" s="8" t="s">
        <v>56</v>
      </c>
      <c r="P183" s="8"/>
    </row>
    <row r="184" spans="1:26" ht="12.75" hidden="1">
      <c r="A184" s="8" t="s">
        <v>18</v>
      </c>
      <c r="B184" s="9">
        <v>45437</v>
      </c>
      <c r="C184" s="8" t="s">
        <v>1066</v>
      </c>
      <c r="D184" s="8" t="s">
        <v>45</v>
      </c>
      <c r="E184" s="8">
        <v>4415830484</v>
      </c>
      <c r="F184" s="8">
        <v>10</v>
      </c>
      <c r="G184" s="8">
        <v>10</v>
      </c>
      <c r="H184" s="8">
        <v>7.5</v>
      </c>
      <c r="I184" s="8">
        <v>10</v>
      </c>
      <c r="J184" s="8">
        <v>7.5</v>
      </c>
      <c r="K184" s="8">
        <v>7.5</v>
      </c>
      <c r="L184" s="8">
        <v>10</v>
      </c>
      <c r="M184" s="8"/>
      <c r="N184" s="8"/>
      <c r="O184" s="8"/>
      <c r="P184" s="8"/>
    </row>
    <row r="185" spans="1:26" ht="12.75" hidden="1">
      <c r="A185" s="8" t="s">
        <v>18</v>
      </c>
      <c r="B185" s="9">
        <v>45437</v>
      </c>
      <c r="C185" s="8" t="s">
        <v>1067</v>
      </c>
      <c r="D185" s="8" t="s">
        <v>54</v>
      </c>
      <c r="E185" s="8">
        <v>4821057242</v>
      </c>
      <c r="F185" s="8">
        <v>6</v>
      </c>
      <c r="G185" s="8">
        <v>10</v>
      </c>
      <c r="H185" s="8">
        <v>5</v>
      </c>
      <c r="I185" s="8">
        <v>10</v>
      </c>
      <c r="J185" s="8">
        <v>5</v>
      </c>
      <c r="K185" s="8">
        <v>7.5</v>
      </c>
      <c r="L185" s="8">
        <v>7.5</v>
      </c>
      <c r="M185" s="8" t="s">
        <v>1068</v>
      </c>
      <c r="N185" s="8" t="s">
        <v>1069</v>
      </c>
      <c r="O185" s="8"/>
      <c r="P185" s="8"/>
    </row>
    <row r="186" spans="1:26" ht="12.75" hidden="1">
      <c r="A186" s="8" t="s">
        <v>18</v>
      </c>
      <c r="B186" s="9">
        <v>45437</v>
      </c>
      <c r="C186" s="8" t="s">
        <v>1070</v>
      </c>
      <c r="D186" s="8" t="s">
        <v>60</v>
      </c>
      <c r="E186" s="8">
        <v>4116809622</v>
      </c>
      <c r="F186" s="8">
        <v>10</v>
      </c>
      <c r="G186" s="8">
        <v>10</v>
      </c>
      <c r="H186" s="8">
        <v>7.5</v>
      </c>
      <c r="I186" s="8">
        <v>10</v>
      </c>
      <c r="J186" s="8">
        <v>7.5</v>
      </c>
      <c r="K186" s="8">
        <v>7.5</v>
      </c>
      <c r="L186" s="8">
        <v>10</v>
      </c>
      <c r="M186" s="8"/>
      <c r="N186" s="8"/>
      <c r="O186" s="8"/>
      <c r="P186" s="8"/>
    </row>
    <row r="187" spans="1:26" ht="12.75" hidden="1">
      <c r="A187" s="8" t="s">
        <v>18</v>
      </c>
      <c r="B187" s="9">
        <v>45437</v>
      </c>
      <c r="C187" s="8" t="s">
        <v>964</v>
      </c>
      <c r="D187" s="8" t="s">
        <v>1071</v>
      </c>
      <c r="E187" s="8">
        <v>4946705990</v>
      </c>
      <c r="F187" s="8">
        <v>5</v>
      </c>
      <c r="G187" s="8">
        <v>10</v>
      </c>
      <c r="H187" s="8">
        <v>5</v>
      </c>
      <c r="I187" s="8">
        <v>10</v>
      </c>
      <c r="J187" s="8">
        <v>5</v>
      </c>
      <c r="K187" s="8">
        <v>7.5</v>
      </c>
      <c r="L187" s="8">
        <v>7.5</v>
      </c>
      <c r="M187" s="8"/>
      <c r="N187" s="8"/>
      <c r="O187" s="8"/>
      <c r="P187" s="8"/>
    </row>
    <row r="188" spans="1:26" ht="12.75" hidden="1">
      <c r="A188" s="8" t="s">
        <v>18</v>
      </c>
      <c r="B188" s="9">
        <v>45437</v>
      </c>
      <c r="C188" s="8" t="s">
        <v>1072</v>
      </c>
      <c r="D188" s="8" t="s">
        <v>105</v>
      </c>
      <c r="E188" s="8">
        <v>4272245873</v>
      </c>
      <c r="F188" s="8">
        <v>7</v>
      </c>
      <c r="G188" s="8">
        <v>10</v>
      </c>
      <c r="H188" s="8">
        <v>5</v>
      </c>
      <c r="I188" s="8">
        <v>10</v>
      </c>
      <c r="J188" s="8">
        <v>7.5</v>
      </c>
      <c r="K188" s="8">
        <v>7.5</v>
      </c>
      <c r="L188" s="8">
        <v>7.5</v>
      </c>
      <c r="M188" s="8" t="s">
        <v>1073</v>
      </c>
      <c r="N188" s="8"/>
      <c r="O188" s="8" t="s">
        <v>1074</v>
      </c>
      <c r="P188" s="8"/>
    </row>
    <row r="189" spans="1:26" ht="12.75" hidden="1">
      <c r="A189" s="8" t="s">
        <v>18</v>
      </c>
      <c r="B189" s="9">
        <v>45437</v>
      </c>
      <c r="C189" s="8" t="s">
        <v>1075</v>
      </c>
      <c r="D189" s="8" t="s">
        <v>105</v>
      </c>
      <c r="E189" s="8">
        <v>4780036428</v>
      </c>
      <c r="F189" s="8">
        <v>8</v>
      </c>
      <c r="G189" s="8">
        <v>7.5</v>
      </c>
      <c r="H189" s="8">
        <v>7.5</v>
      </c>
      <c r="I189" s="8">
        <v>10</v>
      </c>
      <c r="J189" s="8">
        <v>7.5</v>
      </c>
      <c r="K189" s="8">
        <v>7.5</v>
      </c>
      <c r="L189" s="8">
        <v>7.5</v>
      </c>
      <c r="M189" s="8" t="s">
        <v>1076</v>
      </c>
      <c r="N189" s="8"/>
      <c r="O189" s="8" t="s">
        <v>34</v>
      </c>
      <c r="P189" s="8"/>
    </row>
    <row r="190" spans="1:26" ht="12.75" hidden="1">
      <c r="A190" s="8" t="s">
        <v>18</v>
      </c>
      <c r="B190" s="9">
        <v>45438</v>
      </c>
      <c r="C190" s="8" t="s">
        <v>908</v>
      </c>
      <c r="D190" s="8" t="s">
        <v>416</v>
      </c>
      <c r="E190" s="8">
        <v>4350190505</v>
      </c>
      <c r="F190" s="8">
        <v>8</v>
      </c>
      <c r="G190" s="8">
        <v>10</v>
      </c>
      <c r="H190" s="8">
        <v>7.5</v>
      </c>
      <c r="I190" s="8">
        <v>10</v>
      </c>
      <c r="J190" s="8">
        <v>7.5</v>
      </c>
      <c r="K190" s="8">
        <v>7.5</v>
      </c>
      <c r="L190" s="8">
        <v>10</v>
      </c>
      <c r="M190" s="8"/>
      <c r="N190" s="8"/>
      <c r="O190" s="8"/>
      <c r="P190" s="8"/>
    </row>
    <row r="191" spans="1:26" ht="12.75" hidden="1">
      <c r="A191" s="8" t="s">
        <v>18</v>
      </c>
      <c r="B191" s="9">
        <v>45438</v>
      </c>
      <c r="C191" s="8" t="s">
        <v>1077</v>
      </c>
      <c r="D191" s="8" t="s">
        <v>171</v>
      </c>
      <c r="E191" s="8">
        <v>4886883688</v>
      </c>
      <c r="F191" s="8">
        <v>1</v>
      </c>
      <c r="G191" s="8">
        <v>5</v>
      </c>
      <c r="H191" s="8">
        <v>2.5</v>
      </c>
      <c r="I191" s="8">
        <v>5</v>
      </c>
      <c r="J191" s="8">
        <v>2.5</v>
      </c>
      <c r="K191" s="8">
        <v>2.5</v>
      </c>
      <c r="L191" s="8">
        <v>2.5</v>
      </c>
      <c r="M191" s="8" t="s">
        <v>1078</v>
      </c>
      <c r="N191" s="8" t="s">
        <v>1079</v>
      </c>
      <c r="O191" s="8"/>
      <c r="P191" s="8"/>
    </row>
    <row r="192" spans="1:26" ht="12.75" hidden="1">
      <c r="A192" s="8" t="s">
        <v>18</v>
      </c>
      <c r="B192" s="9">
        <v>45438</v>
      </c>
      <c r="C192" s="8" t="s">
        <v>1080</v>
      </c>
      <c r="D192" s="8" t="s">
        <v>93</v>
      </c>
      <c r="E192" s="8">
        <v>4940919179</v>
      </c>
      <c r="F192" s="8">
        <v>3</v>
      </c>
      <c r="G192" s="8">
        <v>2.5</v>
      </c>
      <c r="H192" s="8">
        <v>10</v>
      </c>
      <c r="I192" s="8">
        <v>10</v>
      </c>
      <c r="J192" s="8">
        <v>2.5</v>
      </c>
      <c r="K192" s="8">
        <v>10</v>
      </c>
      <c r="L192" s="8">
        <v>5</v>
      </c>
      <c r="M192" s="8" t="s">
        <v>1081</v>
      </c>
      <c r="N192" s="8" t="s">
        <v>1082</v>
      </c>
      <c r="O192" s="8"/>
      <c r="P192" s="8"/>
    </row>
    <row r="193" spans="1:26" ht="12.75" hidden="1">
      <c r="A193" s="8" t="s">
        <v>18</v>
      </c>
      <c r="B193" s="9">
        <v>45438</v>
      </c>
      <c r="C193" s="8" t="s">
        <v>1083</v>
      </c>
      <c r="D193" s="8" t="s">
        <v>20</v>
      </c>
      <c r="E193" s="8">
        <v>4795448982</v>
      </c>
      <c r="F193" s="8">
        <v>10</v>
      </c>
      <c r="G193" s="8">
        <v>10</v>
      </c>
      <c r="H193" s="8">
        <v>7.5</v>
      </c>
      <c r="I193" s="8">
        <v>10</v>
      </c>
      <c r="J193" s="8">
        <v>7.5</v>
      </c>
      <c r="K193" s="8">
        <v>7.5</v>
      </c>
      <c r="L193" s="8">
        <v>10</v>
      </c>
      <c r="M193" s="8"/>
      <c r="N193" s="8"/>
      <c r="O193" s="8"/>
      <c r="P193" s="8"/>
    </row>
    <row r="194" spans="1:26" ht="12.75" hidden="1">
      <c r="A194" s="8" t="s">
        <v>18</v>
      </c>
      <c r="B194" s="9">
        <v>45438</v>
      </c>
      <c r="C194" s="8" t="s">
        <v>1084</v>
      </c>
      <c r="D194" s="8" t="s">
        <v>317</v>
      </c>
      <c r="E194" s="8">
        <v>4107648888</v>
      </c>
      <c r="F194" s="8">
        <v>8</v>
      </c>
      <c r="G194" s="8">
        <v>5</v>
      </c>
      <c r="H194" s="8">
        <v>7.5</v>
      </c>
      <c r="I194" s="8">
        <v>10</v>
      </c>
      <c r="J194" s="8">
        <v>7.5</v>
      </c>
      <c r="K194" s="8">
        <v>7.5</v>
      </c>
      <c r="L194" s="8">
        <v>10</v>
      </c>
      <c r="M194" s="8" t="s">
        <v>1085</v>
      </c>
      <c r="N194" s="8"/>
      <c r="O194" s="8"/>
      <c r="P194" s="8"/>
      <c r="Q194" s="8"/>
      <c r="R194" s="8"/>
      <c r="S194" s="8"/>
      <c r="T194" s="8"/>
      <c r="U194" s="8"/>
      <c r="V194" s="8"/>
      <c r="W194" s="8"/>
      <c r="X194" s="8"/>
      <c r="Y194" s="8"/>
      <c r="Z194" s="8"/>
    </row>
    <row r="195" spans="1:26" ht="12.75" hidden="1">
      <c r="A195" s="8" t="s">
        <v>18</v>
      </c>
      <c r="B195" s="9">
        <v>45438</v>
      </c>
      <c r="C195" s="8" t="s">
        <v>1086</v>
      </c>
      <c r="D195" s="8" t="s">
        <v>105</v>
      </c>
      <c r="E195" s="8">
        <v>4951973334</v>
      </c>
      <c r="F195" s="8">
        <v>1</v>
      </c>
      <c r="G195" s="8">
        <v>5</v>
      </c>
      <c r="H195" s="8">
        <v>2.5</v>
      </c>
      <c r="I195" s="8">
        <v>7.5</v>
      </c>
      <c r="J195" s="8">
        <v>2.5</v>
      </c>
      <c r="K195" s="8">
        <v>5</v>
      </c>
      <c r="L195" s="8">
        <v>2.5</v>
      </c>
      <c r="M195" s="8" t="s">
        <v>283</v>
      </c>
      <c r="N195" s="8" t="s">
        <v>1087</v>
      </c>
      <c r="O195" s="8"/>
      <c r="P195" s="8"/>
      <c r="Q195" s="8"/>
      <c r="R195" s="8"/>
      <c r="S195" s="8"/>
      <c r="T195" s="8"/>
      <c r="U195" s="8"/>
      <c r="V195" s="8"/>
      <c r="W195" s="8"/>
      <c r="X195" s="8"/>
      <c r="Y195" s="8"/>
      <c r="Z195" s="8"/>
    </row>
    <row r="196" spans="1:26" ht="12.75" hidden="1">
      <c r="A196" s="8" t="s">
        <v>18</v>
      </c>
      <c r="B196" s="9">
        <v>45438</v>
      </c>
      <c r="C196" s="8" t="s">
        <v>1088</v>
      </c>
      <c r="D196" s="8" t="s">
        <v>93</v>
      </c>
      <c r="E196" s="8">
        <v>4911995985</v>
      </c>
      <c r="F196" s="8">
        <v>7</v>
      </c>
      <c r="G196" s="8">
        <v>10</v>
      </c>
      <c r="H196" s="8">
        <v>5</v>
      </c>
      <c r="I196" s="8">
        <v>10</v>
      </c>
      <c r="J196" s="8">
        <v>7.5</v>
      </c>
      <c r="K196" s="8">
        <v>7.5</v>
      </c>
      <c r="L196" s="8">
        <v>2.5</v>
      </c>
      <c r="M196" s="8" t="s">
        <v>1089</v>
      </c>
      <c r="N196" s="8" t="s">
        <v>1090</v>
      </c>
      <c r="O196" s="8"/>
      <c r="P196" s="8"/>
      <c r="Q196" s="8"/>
      <c r="R196" s="8"/>
      <c r="S196" s="8"/>
      <c r="T196" s="8"/>
      <c r="U196" s="8"/>
      <c r="V196" s="8"/>
      <c r="W196" s="8"/>
      <c r="X196" s="8"/>
      <c r="Y196" s="8"/>
      <c r="Z196" s="8"/>
    </row>
    <row r="197" spans="1:26" ht="12.75" hidden="1">
      <c r="A197" s="8" t="s">
        <v>18</v>
      </c>
      <c r="B197" s="9">
        <v>45438</v>
      </c>
      <c r="C197" s="8" t="s">
        <v>1091</v>
      </c>
      <c r="D197" s="8" t="s">
        <v>105</v>
      </c>
      <c r="E197" s="8">
        <v>4718441957</v>
      </c>
      <c r="F197" s="8">
        <v>8</v>
      </c>
      <c r="G197" s="8">
        <v>10</v>
      </c>
      <c r="H197" s="8">
        <v>5</v>
      </c>
      <c r="I197" s="8">
        <v>10</v>
      </c>
      <c r="J197" s="8">
        <v>7.5</v>
      </c>
      <c r="K197" s="8">
        <v>10</v>
      </c>
      <c r="L197" s="8">
        <v>10</v>
      </c>
      <c r="M197" s="8"/>
      <c r="N197" s="8"/>
      <c r="O197" s="8"/>
      <c r="P197" s="8"/>
      <c r="Q197" s="8"/>
      <c r="R197" s="8"/>
      <c r="S197" s="8"/>
      <c r="T197" s="8"/>
      <c r="U197" s="8"/>
      <c r="V197" s="8"/>
      <c r="W197" s="8"/>
      <c r="X197" s="8"/>
      <c r="Y197" s="8"/>
      <c r="Z197" s="8"/>
    </row>
    <row r="198" spans="1:26" ht="12.75" hidden="1">
      <c r="A198" s="8" t="s">
        <v>18</v>
      </c>
      <c r="B198" s="9">
        <v>45438</v>
      </c>
      <c r="C198" s="8" t="s">
        <v>1092</v>
      </c>
      <c r="D198" s="8" t="s">
        <v>45</v>
      </c>
      <c r="E198" s="8">
        <v>4279580377</v>
      </c>
      <c r="F198" s="8">
        <v>10</v>
      </c>
      <c r="G198" s="8">
        <v>10</v>
      </c>
      <c r="H198" s="8">
        <v>10</v>
      </c>
      <c r="I198" s="8">
        <v>10</v>
      </c>
      <c r="J198" s="8">
        <v>10</v>
      </c>
      <c r="K198" s="8">
        <v>10</v>
      </c>
      <c r="L198" s="8">
        <v>10</v>
      </c>
      <c r="M198" s="8" t="s">
        <v>1093</v>
      </c>
      <c r="N198" s="8" t="s">
        <v>1094</v>
      </c>
      <c r="O198" s="8"/>
      <c r="P198" s="8"/>
      <c r="Q198" s="8"/>
      <c r="R198" s="8"/>
      <c r="S198" s="8"/>
      <c r="T198" s="8"/>
      <c r="U198" s="8"/>
      <c r="V198" s="8"/>
      <c r="W198" s="8"/>
      <c r="X198" s="8"/>
      <c r="Y198" s="8"/>
      <c r="Z198" s="8"/>
    </row>
    <row r="199" spans="1:26" ht="12.75" hidden="1">
      <c r="A199" s="37" t="s">
        <v>18</v>
      </c>
      <c r="B199" s="38">
        <v>45439</v>
      </c>
      <c r="C199" s="37" t="s">
        <v>1095</v>
      </c>
      <c r="D199" s="37" t="s">
        <v>54</v>
      </c>
      <c r="E199" s="37">
        <v>4350160942</v>
      </c>
      <c r="F199" s="37">
        <v>6</v>
      </c>
      <c r="G199" s="37">
        <v>7.5</v>
      </c>
      <c r="H199" s="37">
        <v>5</v>
      </c>
      <c r="I199" s="37">
        <v>10</v>
      </c>
      <c r="J199" s="37">
        <v>5</v>
      </c>
      <c r="K199" s="37">
        <v>7.5</v>
      </c>
      <c r="L199" s="37">
        <v>7.5</v>
      </c>
      <c r="M199" s="37" t="s">
        <v>1096</v>
      </c>
      <c r="N199" s="37" t="s">
        <v>1097</v>
      </c>
      <c r="O199" s="37"/>
      <c r="P199" s="8"/>
      <c r="Q199" s="8"/>
      <c r="R199" s="8"/>
      <c r="S199" s="8"/>
      <c r="T199" s="8"/>
      <c r="U199" s="8"/>
      <c r="V199" s="8"/>
      <c r="W199" s="8"/>
      <c r="X199" s="8"/>
      <c r="Y199" s="8"/>
      <c r="Z199" s="8"/>
    </row>
    <row r="200" spans="1:26" ht="12.75" hidden="1">
      <c r="A200" s="8" t="s">
        <v>18</v>
      </c>
      <c r="B200" s="9">
        <v>45439</v>
      </c>
      <c r="C200" s="8" t="s">
        <v>1098</v>
      </c>
      <c r="D200" s="8" t="s">
        <v>105</v>
      </c>
      <c r="E200" s="8">
        <v>4381245964</v>
      </c>
      <c r="F200" s="8">
        <v>6</v>
      </c>
      <c r="G200" s="8">
        <v>7.5</v>
      </c>
      <c r="H200" s="8">
        <v>5</v>
      </c>
      <c r="I200" s="8">
        <v>10</v>
      </c>
      <c r="J200" s="8">
        <v>5</v>
      </c>
      <c r="K200" s="8">
        <v>7.5</v>
      </c>
      <c r="L200" s="8">
        <v>7.5</v>
      </c>
      <c r="M200" s="8"/>
      <c r="N200" s="8"/>
      <c r="O200" s="8"/>
      <c r="P200" s="8"/>
      <c r="Q200" s="8"/>
      <c r="R200" s="8"/>
      <c r="S200" s="8"/>
      <c r="T200" s="8"/>
      <c r="U200" s="8"/>
      <c r="V200" s="8"/>
      <c r="W200" s="8"/>
      <c r="X200" s="8"/>
      <c r="Y200" s="8"/>
      <c r="Z200" s="8"/>
    </row>
    <row r="201" spans="1:26" ht="12.75" hidden="1">
      <c r="A201" s="8" t="s">
        <v>18</v>
      </c>
      <c r="B201" s="9">
        <v>45439</v>
      </c>
      <c r="C201" s="8" t="s">
        <v>229</v>
      </c>
      <c r="D201" s="8" t="s">
        <v>58</v>
      </c>
      <c r="E201" s="8">
        <v>4820841063</v>
      </c>
      <c r="F201" s="8">
        <v>10</v>
      </c>
      <c r="G201" s="8">
        <v>10</v>
      </c>
      <c r="H201" s="8">
        <v>10</v>
      </c>
      <c r="I201" s="8">
        <v>10</v>
      </c>
      <c r="J201" s="8">
        <v>10</v>
      </c>
      <c r="K201" s="8">
        <v>10</v>
      </c>
      <c r="L201" s="8">
        <v>10</v>
      </c>
      <c r="M201" s="8"/>
      <c r="N201" s="8"/>
      <c r="O201" s="8"/>
      <c r="P201" s="8"/>
      <c r="Q201" s="8"/>
      <c r="R201" s="8"/>
      <c r="S201" s="8"/>
      <c r="T201" s="8"/>
      <c r="U201" s="8"/>
      <c r="V201" s="8"/>
      <c r="W201" s="8"/>
      <c r="X201" s="8"/>
      <c r="Y201" s="8"/>
      <c r="Z201" s="8"/>
    </row>
    <row r="202" spans="1:26" ht="12.75" hidden="1">
      <c r="A202" s="8" t="s">
        <v>18</v>
      </c>
      <c r="B202" s="9">
        <v>45439</v>
      </c>
      <c r="C202" s="8" t="s">
        <v>1099</v>
      </c>
      <c r="D202" s="8" t="s">
        <v>60</v>
      </c>
      <c r="E202" s="8">
        <v>4516350919</v>
      </c>
      <c r="F202" s="8">
        <v>7</v>
      </c>
      <c r="G202" s="8">
        <v>7.5</v>
      </c>
      <c r="H202" s="8">
        <v>5</v>
      </c>
      <c r="I202" s="8">
        <v>7.5</v>
      </c>
      <c r="J202" s="8">
        <v>7.5</v>
      </c>
      <c r="K202" s="8">
        <v>7.5</v>
      </c>
      <c r="L202" s="8">
        <v>7.5</v>
      </c>
      <c r="M202" s="8"/>
      <c r="N202" s="8"/>
      <c r="O202" s="8"/>
      <c r="P202" s="8"/>
      <c r="Q202" s="8"/>
      <c r="R202" s="8"/>
      <c r="S202" s="8"/>
      <c r="T202" s="8"/>
      <c r="U202" s="8"/>
      <c r="V202" s="8"/>
      <c r="W202" s="8"/>
      <c r="X202" s="8"/>
      <c r="Y202" s="8"/>
      <c r="Z202" s="8"/>
    </row>
    <row r="203" spans="1:26" ht="12.75" hidden="1">
      <c r="A203" s="8" t="s">
        <v>18</v>
      </c>
      <c r="B203" s="9">
        <v>45439</v>
      </c>
      <c r="C203" s="8" t="s">
        <v>389</v>
      </c>
      <c r="D203" s="8" t="s">
        <v>317</v>
      </c>
      <c r="E203" s="8">
        <v>4517916088</v>
      </c>
      <c r="F203" s="8">
        <v>10</v>
      </c>
      <c r="G203" s="8">
        <v>10</v>
      </c>
      <c r="H203" s="8">
        <v>10</v>
      </c>
      <c r="I203" s="8">
        <v>10</v>
      </c>
      <c r="J203" s="8">
        <v>10</v>
      </c>
      <c r="K203" s="8">
        <v>10</v>
      </c>
      <c r="L203" s="8">
        <v>10</v>
      </c>
      <c r="M203" s="8" t="s">
        <v>1100</v>
      </c>
      <c r="N203" s="8" t="s">
        <v>1101</v>
      </c>
      <c r="O203" s="8"/>
      <c r="P203" s="8"/>
      <c r="Q203" s="8"/>
      <c r="R203" s="8"/>
      <c r="S203" s="8"/>
      <c r="T203" s="8"/>
      <c r="U203" s="8"/>
      <c r="V203" s="8"/>
      <c r="W203" s="8"/>
      <c r="X203" s="8"/>
      <c r="Y203" s="8"/>
      <c r="Z203" s="8"/>
    </row>
    <row r="204" spans="1:26" ht="12.75" hidden="1">
      <c r="A204" s="8" t="s">
        <v>18</v>
      </c>
      <c r="B204" s="9">
        <v>45439</v>
      </c>
      <c r="C204" s="8" t="s">
        <v>1102</v>
      </c>
      <c r="D204" s="8" t="s">
        <v>36</v>
      </c>
      <c r="E204" s="8">
        <v>4501083060</v>
      </c>
      <c r="F204" s="8">
        <v>7</v>
      </c>
      <c r="G204" s="8">
        <v>7.5</v>
      </c>
      <c r="H204" s="8">
        <v>7.5</v>
      </c>
      <c r="I204" s="8">
        <v>10</v>
      </c>
      <c r="J204" s="8">
        <v>7.5</v>
      </c>
      <c r="K204" s="8">
        <v>5</v>
      </c>
      <c r="L204" s="8">
        <v>7.5</v>
      </c>
      <c r="M204" s="8"/>
      <c r="N204" s="8"/>
      <c r="O204" s="8"/>
      <c r="P204" s="8"/>
      <c r="Q204" s="8"/>
      <c r="R204" s="8"/>
      <c r="S204" s="8"/>
      <c r="T204" s="8"/>
      <c r="U204" s="8"/>
      <c r="V204" s="8"/>
      <c r="W204" s="8"/>
      <c r="X204" s="8"/>
      <c r="Y204" s="8"/>
      <c r="Z204" s="8"/>
    </row>
    <row r="205" spans="1:26" ht="12.75" hidden="1">
      <c r="A205" s="8" t="s">
        <v>18</v>
      </c>
      <c r="B205" s="9">
        <v>45439</v>
      </c>
      <c r="C205" s="8" t="s">
        <v>1103</v>
      </c>
      <c r="D205" s="8" t="s">
        <v>60</v>
      </c>
      <c r="E205" s="8">
        <v>4842898135</v>
      </c>
      <c r="F205" s="8">
        <v>10</v>
      </c>
      <c r="G205" s="8">
        <v>7.5</v>
      </c>
      <c r="H205" s="8">
        <v>7.5</v>
      </c>
      <c r="I205" s="8">
        <v>7.5</v>
      </c>
      <c r="J205" s="8">
        <v>7.5</v>
      </c>
      <c r="K205" s="8">
        <v>7.5</v>
      </c>
      <c r="L205" s="8">
        <v>7.5</v>
      </c>
      <c r="M205" s="8"/>
      <c r="N205" s="8"/>
      <c r="O205" s="8"/>
      <c r="P205" s="8"/>
      <c r="Q205" s="8"/>
      <c r="R205" s="8"/>
      <c r="S205" s="8"/>
      <c r="T205" s="8"/>
      <c r="U205" s="8"/>
      <c r="V205" s="8"/>
      <c r="W205" s="8"/>
      <c r="X205" s="8"/>
      <c r="Y205" s="8"/>
      <c r="Z205" s="8"/>
    </row>
    <row r="206" spans="1:26" ht="12.75" hidden="1">
      <c r="A206" s="8" t="s">
        <v>18</v>
      </c>
      <c r="B206" s="9">
        <v>45440</v>
      </c>
      <c r="C206" s="8" t="s">
        <v>1104</v>
      </c>
      <c r="D206" s="8" t="s">
        <v>33</v>
      </c>
      <c r="E206" s="8">
        <v>4080039988</v>
      </c>
      <c r="F206" s="8">
        <v>9</v>
      </c>
      <c r="G206" s="8">
        <v>10</v>
      </c>
      <c r="H206" s="8">
        <v>10</v>
      </c>
      <c r="I206" s="8">
        <v>10</v>
      </c>
      <c r="J206" s="8">
        <v>10</v>
      </c>
      <c r="K206" s="8">
        <v>10</v>
      </c>
      <c r="L206" s="8">
        <v>10</v>
      </c>
      <c r="M206" s="8" t="s">
        <v>1105</v>
      </c>
      <c r="N206" s="8" t="s">
        <v>1106</v>
      </c>
      <c r="O206" s="8"/>
      <c r="P206" s="8"/>
      <c r="Q206" s="8"/>
      <c r="R206" s="8"/>
      <c r="S206" s="8"/>
      <c r="T206" s="8"/>
      <c r="U206" s="8"/>
      <c r="V206" s="8"/>
      <c r="W206" s="8"/>
      <c r="X206" s="8"/>
      <c r="Y206" s="8"/>
      <c r="Z206" s="8"/>
    </row>
    <row r="207" spans="1:26" ht="12.75" hidden="1">
      <c r="A207" s="8" t="s">
        <v>18</v>
      </c>
      <c r="B207" s="9">
        <v>45440</v>
      </c>
      <c r="C207" s="8" t="s">
        <v>1107</v>
      </c>
      <c r="D207" s="8" t="s">
        <v>36</v>
      </c>
      <c r="E207" s="8">
        <v>4581911385</v>
      </c>
      <c r="F207" s="8">
        <v>6</v>
      </c>
      <c r="G207" s="8">
        <v>5</v>
      </c>
      <c r="H207" s="8">
        <v>5</v>
      </c>
      <c r="I207" s="8">
        <v>10</v>
      </c>
      <c r="J207" s="8">
        <v>5</v>
      </c>
      <c r="K207" s="8">
        <v>2.5</v>
      </c>
      <c r="L207" s="8">
        <v>7.5</v>
      </c>
      <c r="M207" s="8" t="s">
        <v>46</v>
      </c>
      <c r="N207" s="8" t="s">
        <v>1108</v>
      </c>
      <c r="O207" s="8" t="s">
        <v>56</v>
      </c>
      <c r="P207" s="8"/>
      <c r="Q207" s="8"/>
      <c r="R207" s="8"/>
      <c r="S207" s="8"/>
      <c r="T207" s="8"/>
      <c r="U207" s="8"/>
      <c r="V207" s="8"/>
      <c r="W207" s="8"/>
      <c r="X207" s="8"/>
      <c r="Y207" s="8"/>
      <c r="Z207" s="8"/>
    </row>
    <row r="208" spans="1:26" ht="12.75" hidden="1">
      <c r="A208" s="8" t="s">
        <v>18</v>
      </c>
      <c r="B208" s="9">
        <v>45440</v>
      </c>
      <c r="C208" s="8" t="s">
        <v>1109</v>
      </c>
      <c r="D208" s="8" t="s">
        <v>20</v>
      </c>
      <c r="E208" s="8">
        <v>4597794810</v>
      </c>
      <c r="F208" s="8">
        <v>1</v>
      </c>
      <c r="G208" s="8">
        <v>5</v>
      </c>
      <c r="H208" s="8">
        <v>2.5</v>
      </c>
      <c r="I208" s="8">
        <v>10</v>
      </c>
      <c r="J208" s="8">
        <v>2.5</v>
      </c>
      <c r="K208" s="8">
        <v>5</v>
      </c>
      <c r="L208" s="8">
        <v>5</v>
      </c>
      <c r="M208" s="8"/>
      <c r="N208" s="8" t="s">
        <v>1110</v>
      </c>
      <c r="O208" s="8"/>
      <c r="P208" s="8"/>
      <c r="Q208" s="8"/>
      <c r="R208" s="8"/>
      <c r="S208" s="8"/>
      <c r="T208" s="8"/>
      <c r="U208" s="8"/>
      <c r="V208" s="8"/>
      <c r="W208" s="8"/>
      <c r="X208" s="8"/>
      <c r="Y208" s="8"/>
      <c r="Z208" s="8"/>
    </row>
    <row r="209" spans="1:26" ht="12.75" hidden="1">
      <c r="A209" s="8" t="s">
        <v>18</v>
      </c>
      <c r="B209" s="9">
        <v>45440</v>
      </c>
      <c r="C209" s="8" t="s">
        <v>594</v>
      </c>
      <c r="D209" s="8" t="s">
        <v>595</v>
      </c>
      <c r="E209" s="8">
        <v>4470447169</v>
      </c>
      <c r="F209" s="8">
        <v>10</v>
      </c>
      <c r="G209" s="8">
        <v>10</v>
      </c>
      <c r="H209" s="8">
        <v>10</v>
      </c>
      <c r="I209" s="8">
        <v>10</v>
      </c>
      <c r="J209" s="8">
        <v>10</v>
      </c>
      <c r="K209" s="8">
        <v>10</v>
      </c>
      <c r="L209" s="8">
        <v>10</v>
      </c>
      <c r="M209" s="8"/>
      <c r="N209" s="8"/>
      <c r="O209" s="8"/>
      <c r="P209" s="8"/>
      <c r="Q209" s="8"/>
      <c r="R209" s="8"/>
      <c r="S209" s="8"/>
      <c r="T209" s="8"/>
      <c r="U209" s="8"/>
      <c r="V209" s="8"/>
      <c r="W209" s="8"/>
      <c r="X209" s="8"/>
      <c r="Y209" s="8"/>
      <c r="Z209" s="8"/>
    </row>
    <row r="210" spans="1:26" ht="12.75" hidden="1">
      <c r="A210" s="8" t="s">
        <v>18</v>
      </c>
      <c r="B210" s="9">
        <v>45440</v>
      </c>
      <c r="C210" s="8" t="s">
        <v>1111</v>
      </c>
      <c r="D210" s="8" t="s">
        <v>105</v>
      </c>
      <c r="E210" s="8">
        <v>4456065471</v>
      </c>
      <c r="F210" s="8">
        <v>1</v>
      </c>
      <c r="G210" s="8">
        <v>7.5</v>
      </c>
      <c r="H210" s="8">
        <v>2.5</v>
      </c>
      <c r="I210" s="8">
        <v>7.5</v>
      </c>
      <c r="J210" s="8">
        <v>2.5</v>
      </c>
      <c r="K210" s="8">
        <v>2.5</v>
      </c>
      <c r="L210" s="8">
        <v>2.5</v>
      </c>
      <c r="M210" s="8"/>
      <c r="N210" s="8" t="s">
        <v>1112</v>
      </c>
      <c r="O210" s="8"/>
      <c r="P210" s="8"/>
      <c r="Q210" s="8"/>
      <c r="R210" s="8"/>
      <c r="S210" s="8"/>
      <c r="T210" s="8"/>
      <c r="U210" s="8"/>
      <c r="V210" s="8"/>
      <c r="W210" s="8"/>
      <c r="X210" s="8"/>
      <c r="Y210" s="8"/>
      <c r="Z210" s="8"/>
    </row>
    <row r="211" spans="1:26" ht="12.75" hidden="1">
      <c r="A211" s="8" t="s">
        <v>18</v>
      </c>
      <c r="B211" s="9">
        <v>45440</v>
      </c>
      <c r="C211" s="8" t="s">
        <v>1113</v>
      </c>
      <c r="D211" s="8" t="s">
        <v>28</v>
      </c>
      <c r="E211" s="8">
        <v>4921424193</v>
      </c>
      <c r="F211" s="8">
        <v>8</v>
      </c>
      <c r="G211" s="8">
        <v>7.5</v>
      </c>
      <c r="H211" s="8">
        <v>7.5</v>
      </c>
      <c r="I211" s="8">
        <v>7.5</v>
      </c>
      <c r="J211" s="8">
        <v>7.5</v>
      </c>
      <c r="K211" s="8">
        <v>7.5</v>
      </c>
      <c r="L211" s="8">
        <v>7.5</v>
      </c>
      <c r="M211" s="8"/>
      <c r="N211" s="8"/>
      <c r="O211" s="8"/>
      <c r="P211" s="8"/>
      <c r="Q211" s="8"/>
      <c r="R211" s="8"/>
      <c r="S211" s="8"/>
      <c r="T211" s="8"/>
      <c r="U211" s="8"/>
      <c r="V211" s="8"/>
      <c r="W211" s="8"/>
      <c r="X211" s="8"/>
      <c r="Y211" s="8"/>
      <c r="Z211" s="8"/>
    </row>
    <row r="212" spans="1:26" ht="12.75" hidden="1">
      <c r="A212" s="8" t="s">
        <v>18</v>
      </c>
      <c r="B212" s="9">
        <v>45440</v>
      </c>
      <c r="C212" s="8" t="s">
        <v>1114</v>
      </c>
      <c r="D212" s="8" t="s">
        <v>54</v>
      </c>
      <c r="E212" s="8">
        <v>4884247150</v>
      </c>
      <c r="F212" s="8">
        <v>3</v>
      </c>
      <c r="G212" s="8">
        <v>5</v>
      </c>
      <c r="H212" s="8">
        <v>2.5</v>
      </c>
      <c r="I212" s="8">
        <v>10</v>
      </c>
      <c r="J212" s="8">
        <v>7.5</v>
      </c>
      <c r="K212" s="8">
        <v>2.5</v>
      </c>
      <c r="L212" s="8">
        <v>5</v>
      </c>
      <c r="M212" s="8"/>
      <c r="N212" s="8"/>
      <c r="O212" s="8"/>
      <c r="P212" s="8"/>
      <c r="Q212" s="8"/>
      <c r="R212" s="8"/>
      <c r="S212" s="8"/>
      <c r="T212" s="8"/>
      <c r="U212" s="8"/>
      <c r="V212" s="8"/>
      <c r="W212" s="8"/>
      <c r="X212" s="8"/>
      <c r="Y212" s="8"/>
      <c r="Z212" s="8"/>
    </row>
    <row r="213" spans="1:26" ht="12.75" hidden="1">
      <c r="A213" s="8" t="s">
        <v>18</v>
      </c>
      <c r="B213" s="9">
        <v>45440</v>
      </c>
      <c r="C213" s="8" t="s">
        <v>1115</v>
      </c>
      <c r="D213" s="8" t="s">
        <v>93</v>
      </c>
      <c r="E213" s="8">
        <v>4338198023</v>
      </c>
      <c r="F213" s="8">
        <v>10</v>
      </c>
      <c r="G213" s="8">
        <v>10</v>
      </c>
      <c r="H213" s="8">
        <v>10</v>
      </c>
      <c r="I213" s="8">
        <v>10</v>
      </c>
      <c r="J213" s="8">
        <v>10</v>
      </c>
      <c r="K213" s="8">
        <v>10</v>
      </c>
      <c r="L213" s="8">
        <v>10</v>
      </c>
      <c r="M213" s="8"/>
      <c r="N213" s="8"/>
      <c r="O213" s="8"/>
      <c r="P213" s="8"/>
      <c r="Q213" s="8"/>
      <c r="R213" s="8"/>
      <c r="S213" s="8"/>
      <c r="T213" s="8"/>
      <c r="U213" s="8"/>
      <c r="V213" s="8"/>
      <c r="W213" s="8"/>
      <c r="X213" s="8"/>
      <c r="Y213" s="8"/>
      <c r="Z213" s="8"/>
    </row>
    <row r="214" spans="1:26" ht="12.75" hidden="1">
      <c r="A214" s="8" t="s">
        <v>18</v>
      </c>
      <c r="B214" s="9">
        <v>45440</v>
      </c>
      <c r="C214" s="8" t="s">
        <v>1116</v>
      </c>
      <c r="D214" s="8" t="s">
        <v>847</v>
      </c>
      <c r="E214" s="8">
        <v>4939923523</v>
      </c>
      <c r="F214" s="8">
        <v>9</v>
      </c>
      <c r="G214" s="8">
        <v>10</v>
      </c>
      <c r="H214" s="8">
        <v>7.5</v>
      </c>
      <c r="I214" s="8">
        <v>10</v>
      </c>
      <c r="J214" s="8">
        <v>7.5</v>
      </c>
      <c r="K214" s="8">
        <v>7.5</v>
      </c>
      <c r="L214" s="8">
        <v>10</v>
      </c>
      <c r="M214" s="8" t="s">
        <v>1117</v>
      </c>
      <c r="N214" s="8"/>
      <c r="O214" s="8"/>
      <c r="P214" s="8"/>
      <c r="Q214" s="8"/>
      <c r="R214" s="8"/>
      <c r="S214" s="8"/>
      <c r="T214" s="8"/>
      <c r="U214" s="8"/>
      <c r="V214" s="8"/>
      <c r="W214" s="8"/>
      <c r="X214" s="8"/>
      <c r="Y214" s="8"/>
      <c r="Z214" s="8"/>
    </row>
    <row r="215" spans="1:26" ht="12.75" hidden="1">
      <c r="A215" s="8" t="s">
        <v>18</v>
      </c>
      <c r="B215" s="9">
        <v>45441</v>
      </c>
      <c r="C215" s="8" t="s">
        <v>1118</v>
      </c>
      <c r="D215" s="8" t="s">
        <v>54</v>
      </c>
      <c r="E215" s="8">
        <v>4828305127</v>
      </c>
      <c r="F215" s="8">
        <v>5</v>
      </c>
      <c r="G215" s="8">
        <v>7.5</v>
      </c>
      <c r="H215" s="8">
        <v>5</v>
      </c>
      <c r="I215" s="8">
        <v>7.5</v>
      </c>
      <c r="J215" s="8">
        <v>2.5</v>
      </c>
      <c r="K215" s="8">
        <v>5</v>
      </c>
      <c r="L215" s="8">
        <v>5</v>
      </c>
      <c r="M215" s="8"/>
      <c r="N215" s="8" t="s">
        <v>1119</v>
      </c>
      <c r="O215" s="8"/>
      <c r="P215" s="8"/>
      <c r="Q215" s="8"/>
      <c r="R215" s="8"/>
      <c r="S215" s="8"/>
      <c r="T215" s="8"/>
      <c r="U215" s="8"/>
      <c r="V215" s="8"/>
      <c r="W215" s="8"/>
      <c r="X215" s="8"/>
      <c r="Y215" s="8"/>
      <c r="Z215" s="8"/>
    </row>
    <row r="216" spans="1:26" ht="12.75" hidden="1">
      <c r="A216" s="8" t="s">
        <v>18</v>
      </c>
      <c r="B216" s="9">
        <v>45441</v>
      </c>
      <c r="C216" s="8" t="s">
        <v>1120</v>
      </c>
      <c r="D216" s="8" t="s">
        <v>647</v>
      </c>
      <c r="E216" s="8">
        <v>4764382165</v>
      </c>
      <c r="F216" s="8">
        <v>7</v>
      </c>
      <c r="G216" s="8">
        <v>7.5</v>
      </c>
      <c r="H216" s="8">
        <v>7.5</v>
      </c>
      <c r="I216" s="8">
        <v>10</v>
      </c>
      <c r="J216" s="8">
        <v>5</v>
      </c>
      <c r="K216" s="8">
        <v>5</v>
      </c>
      <c r="L216" s="8">
        <v>7.5</v>
      </c>
      <c r="M216" s="8"/>
      <c r="N216" s="8"/>
      <c r="O216" s="8"/>
      <c r="P216" s="8"/>
      <c r="Q216" s="8"/>
      <c r="R216" s="8"/>
      <c r="S216" s="8"/>
      <c r="T216" s="8"/>
      <c r="U216" s="8"/>
      <c r="V216" s="8"/>
      <c r="W216" s="8"/>
      <c r="X216" s="8"/>
      <c r="Y216" s="8"/>
      <c r="Z216" s="8"/>
    </row>
    <row r="217" spans="1:26" ht="12.75" hidden="1">
      <c r="A217" s="8" t="s">
        <v>18</v>
      </c>
      <c r="B217" s="9">
        <v>45441</v>
      </c>
      <c r="C217" s="8" t="s">
        <v>1121</v>
      </c>
      <c r="D217" s="8" t="s">
        <v>36</v>
      </c>
      <c r="E217" s="8">
        <v>4315592009</v>
      </c>
      <c r="F217" s="8">
        <v>8</v>
      </c>
      <c r="G217" s="8">
        <v>7.5</v>
      </c>
      <c r="H217" s="8">
        <v>7.5</v>
      </c>
      <c r="I217" s="8">
        <v>10</v>
      </c>
      <c r="J217" s="8">
        <v>7.5</v>
      </c>
      <c r="K217" s="8">
        <v>7.5</v>
      </c>
      <c r="L217" s="8">
        <v>7.5</v>
      </c>
      <c r="M217" s="8"/>
      <c r="N217" s="8"/>
      <c r="O217" s="8"/>
      <c r="P217" s="8"/>
      <c r="Q217" s="8"/>
      <c r="R217" s="8"/>
      <c r="S217" s="8"/>
      <c r="T217" s="8"/>
      <c r="U217" s="8"/>
      <c r="V217" s="8"/>
      <c r="W217" s="8"/>
      <c r="X217" s="8"/>
      <c r="Y217" s="8"/>
      <c r="Z217" s="8"/>
    </row>
    <row r="218" spans="1:26" ht="12.75" hidden="1">
      <c r="A218" s="8" t="s">
        <v>18</v>
      </c>
      <c r="B218" s="9">
        <v>45441</v>
      </c>
      <c r="C218" s="8" t="s">
        <v>1122</v>
      </c>
      <c r="D218" s="8" t="s">
        <v>58</v>
      </c>
      <c r="E218" s="8">
        <v>4596245192</v>
      </c>
      <c r="F218" s="8">
        <v>3</v>
      </c>
      <c r="G218" s="8">
        <v>10</v>
      </c>
      <c r="H218" s="8">
        <v>5</v>
      </c>
      <c r="I218" s="8">
        <v>10</v>
      </c>
      <c r="J218" s="8">
        <v>2.5</v>
      </c>
      <c r="K218" s="8">
        <v>2.5</v>
      </c>
      <c r="L218" s="8">
        <v>7.5</v>
      </c>
      <c r="M218" s="8" t="s">
        <v>1123</v>
      </c>
      <c r="N218" s="8" t="s">
        <v>1124</v>
      </c>
      <c r="O218" s="8"/>
      <c r="P218" s="8"/>
      <c r="Q218" s="8"/>
      <c r="R218" s="8"/>
      <c r="S218" s="8"/>
      <c r="T218" s="8"/>
      <c r="U218" s="8"/>
      <c r="V218" s="8"/>
      <c r="W218" s="8"/>
      <c r="X218" s="8"/>
      <c r="Y218" s="8"/>
      <c r="Z218" s="8"/>
    </row>
    <row r="219" spans="1:26" ht="12.75" hidden="1">
      <c r="A219" s="8" t="s">
        <v>18</v>
      </c>
      <c r="B219" s="9">
        <v>45441</v>
      </c>
      <c r="C219" s="8" t="s">
        <v>1125</v>
      </c>
      <c r="D219" s="8" t="s">
        <v>36</v>
      </c>
      <c r="E219" s="8">
        <v>4165478851</v>
      </c>
      <c r="F219" s="8">
        <v>1</v>
      </c>
      <c r="G219" s="8">
        <v>5</v>
      </c>
      <c r="H219" s="8">
        <v>5</v>
      </c>
      <c r="I219" s="8">
        <v>7.5</v>
      </c>
      <c r="J219" s="8">
        <v>2.5</v>
      </c>
      <c r="K219" s="8">
        <v>2.5</v>
      </c>
      <c r="L219" s="8">
        <v>2.5</v>
      </c>
      <c r="M219" s="8" t="s">
        <v>1126</v>
      </c>
      <c r="N219" s="8" t="s">
        <v>1127</v>
      </c>
      <c r="O219" s="8" t="s">
        <v>1128</v>
      </c>
      <c r="P219" s="8"/>
      <c r="Q219" s="8"/>
      <c r="R219" s="8"/>
      <c r="S219" s="8"/>
      <c r="T219" s="8"/>
      <c r="U219" s="8"/>
      <c r="V219" s="8"/>
      <c r="W219" s="8"/>
      <c r="X219" s="8"/>
      <c r="Y219" s="8"/>
      <c r="Z219" s="8"/>
    </row>
    <row r="220" spans="1:26" ht="12.75" hidden="1">
      <c r="A220" s="8" t="s">
        <v>18</v>
      </c>
      <c r="B220" s="9">
        <v>45441</v>
      </c>
      <c r="C220" s="8" t="s">
        <v>1129</v>
      </c>
      <c r="D220" s="8" t="s">
        <v>45</v>
      </c>
      <c r="E220" s="8">
        <v>4451588886</v>
      </c>
      <c r="F220" s="8">
        <v>4</v>
      </c>
      <c r="G220" s="8">
        <v>2.5</v>
      </c>
      <c r="H220" s="8">
        <v>5</v>
      </c>
      <c r="I220" s="8">
        <v>10</v>
      </c>
      <c r="J220" s="8">
        <v>5</v>
      </c>
      <c r="K220" s="8">
        <v>2.5</v>
      </c>
      <c r="L220" s="8">
        <v>5</v>
      </c>
      <c r="M220" s="8"/>
      <c r="N220" s="8"/>
      <c r="O220" s="8"/>
      <c r="P220" s="8"/>
    </row>
    <row r="221" spans="1:26" ht="12.75" hidden="1">
      <c r="A221" s="8" t="s">
        <v>18</v>
      </c>
      <c r="B221" s="9">
        <v>45441</v>
      </c>
      <c r="C221" s="8" t="s">
        <v>1130</v>
      </c>
      <c r="D221" s="8" t="s">
        <v>337</v>
      </c>
      <c r="E221" s="8">
        <v>4784572029</v>
      </c>
      <c r="F221" s="8">
        <v>5</v>
      </c>
      <c r="G221" s="8">
        <v>10</v>
      </c>
      <c r="H221" s="8">
        <v>2.5</v>
      </c>
      <c r="I221" s="8">
        <v>10</v>
      </c>
      <c r="J221" s="8">
        <v>5</v>
      </c>
      <c r="K221" s="8">
        <v>5</v>
      </c>
      <c r="L221" s="8">
        <v>5</v>
      </c>
      <c r="M221" s="8"/>
      <c r="N221" s="8"/>
      <c r="O221" s="8"/>
      <c r="P221" s="8"/>
    </row>
    <row r="222" spans="1:26" ht="12.75" hidden="1">
      <c r="A222" s="8" t="s">
        <v>18</v>
      </c>
      <c r="B222" s="9">
        <v>45441</v>
      </c>
      <c r="C222" s="8" t="s">
        <v>1131</v>
      </c>
      <c r="D222" s="8" t="s">
        <v>1132</v>
      </c>
      <c r="E222" s="8">
        <v>4284016741</v>
      </c>
      <c r="F222" s="8">
        <v>3</v>
      </c>
      <c r="G222" s="8">
        <v>5</v>
      </c>
      <c r="H222" s="8">
        <v>5</v>
      </c>
      <c r="I222" s="8">
        <v>2.5</v>
      </c>
      <c r="J222" s="8">
        <v>2.5</v>
      </c>
      <c r="K222" s="8">
        <v>2.5</v>
      </c>
      <c r="L222" s="8">
        <v>2.5</v>
      </c>
      <c r="M222" s="8"/>
      <c r="N222" s="8" t="s">
        <v>1133</v>
      </c>
      <c r="O222" s="8" t="s">
        <v>1134</v>
      </c>
      <c r="P222" s="8"/>
    </row>
    <row r="223" spans="1:26" ht="12.75" hidden="1">
      <c r="A223" s="8" t="s">
        <v>18</v>
      </c>
      <c r="B223" s="9">
        <v>45441</v>
      </c>
      <c r="C223" s="8" t="s">
        <v>1135</v>
      </c>
      <c r="D223" s="8" t="s">
        <v>118</v>
      </c>
      <c r="E223" s="8">
        <v>4879072267</v>
      </c>
      <c r="F223" s="8">
        <v>10</v>
      </c>
      <c r="G223" s="8">
        <v>7.5</v>
      </c>
      <c r="H223" s="8">
        <v>10</v>
      </c>
      <c r="I223" s="8">
        <v>10</v>
      </c>
      <c r="J223" s="8">
        <v>10</v>
      </c>
      <c r="K223" s="8">
        <v>10</v>
      </c>
      <c r="L223" s="8">
        <v>10</v>
      </c>
      <c r="M223" s="8" t="s">
        <v>1136</v>
      </c>
      <c r="N223" s="8"/>
      <c r="O223" s="8" t="s">
        <v>1137</v>
      </c>
      <c r="P223" s="8"/>
    </row>
    <row r="224" spans="1:26" ht="12.75" hidden="1">
      <c r="A224" s="8" t="s">
        <v>18</v>
      </c>
      <c r="B224" s="9">
        <v>45441</v>
      </c>
      <c r="C224" s="8" t="s">
        <v>1138</v>
      </c>
      <c r="D224" s="8" t="s">
        <v>20</v>
      </c>
      <c r="E224" s="8">
        <v>4599345617</v>
      </c>
      <c r="F224" s="8">
        <v>9</v>
      </c>
      <c r="G224" s="8">
        <v>10</v>
      </c>
      <c r="H224" s="8">
        <v>7.5</v>
      </c>
      <c r="I224" s="8">
        <v>10</v>
      </c>
      <c r="J224" s="8">
        <v>10</v>
      </c>
      <c r="K224" s="8">
        <v>7.5</v>
      </c>
      <c r="L224" s="8">
        <v>10</v>
      </c>
      <c r="M224" s="8"/>
      <c r="N224" s="8"/>
      <c r="O224" s="8"/>
      <c r="P224" s="8"/>
    </row>
    <row r="225" spans="1:16" ht="12.75" hidden="1">
      <c r="A225" s="8" t="s">
        <v>18</v>
      </c>
      <c r="B225" s="9">
        <v>45442</v>
      </c>
      <c r="C225" s="8" t="s">
        <v>1139</v>
      </c>
      <c r="D225" s="8" t="s">
        <v>449</v>
      </c>
      <c r="E225" s="8">
        <v>4988697489</v>
      </c>
      <c r="F225" s="8">
        <v>9</v>
      </c>
      <c r="G225" s="8">
        <v>10</v>
      </c>
      <c r="H225" s="8">
        <v>10</v>
      </c>
      <c r="I225" s="8">
        <v>7.5</v>
      </c>
      <c r="J225" s="8">
        <v>7.5</v>
      </c>
      <c r="K225" s="8">
        <v>10</v>
      </c>
      <c r="L225" s="8">
        <v>7.5</v>
      </c>
      <c r="M225" s="8" t="s">
        <v>1140</v>
      </c>
      <c r="N225" s="8" t="s">
        <v>1141</v>
      </c>
      <c r="O225" s="8" t="s">
        <v>1142</v>
      </c>
      <c r="P225" s="8"/>
    </row>
    <row r="226" spans="1:16" ht="12.75" hidden="1">
      <c r="A226" s="8" t="s">
        <v>18</v>
      </c>
      <c r="B226" s="9">
        <v>45442</v>
      </c>
      <c r="C226" s="8" t="s">
        <v>1143</v>
      </c>
      <c r="D226" s="8" t="s">
        <v>45</v>
      </c>
      <c r="E226" s="8">
        <v>4795485350</v>
      </c>
      <c r="F226" s="8">
        <v>6</v>
      </c>
      <c r="G226" s="8">
        <v>10</v>
      </c>
      <c r="H226" s="8">
        <v>7.5</v>
      </c>
      <c r="I226" s="8">
        <v>10</v>
      </c>
      <c r="J226" s="8">
        <v>5</v>
      </c>
      <c r="K226" s="8">
        <v>7.5</v>
      </c>
      <c r="L226" s="8">
        <v>10</v>
      </c>
      <c r="M226" s="8"/>
      <c r="N226" s="8"/>
      <c r="O226" s="8"/>
      <c r="P226" s="8"/>
    </row>
    <row r="227" spans="1:16" ht="12.75" hidden="1">
      <c r="A227" s="8" t="s">
        <v>18</v>
      </c>
      <c r="B227" s="9">
        <v>45442</v>
      </c>
      <c r="C227" s="8" t="s">
        <v>1144</v>
      </c>
      <c r="D227" s="8" t="s">
        <v>317</v>
      </c>
      <c r="E227" s="8">
        <v>4795436998</v>
      </c>
      <c r="F227" s="8">
        <v>10</v>
      </c>
      <c r="G227" s="8">
        <v>10</v>
      </c>
      <c r="H227" s="8">
        <v>10</v>
      </c>
      <c r="I227" s="8">
        <v>10</v>
      </c>
      <c r="J227" s="8">
        <v>10</v>
      </c>
      <c r="K227" s="8">
        <v>10</v>
      </c>
      <c r="L227" s="8">
        <v>10</v>
      </c>
      <c r="M227" s="8" t="s">
        <v>1145</v>
      </c>
      <c r="N227" s="8"/>
      <c r="O227" s="8"/>
      <c r="P227" s="8"/>
    </row>
    <row r="228" spans="1:16" ht="12.75" hidden="1">
      <c r="A228" s="8" t="s">
        <v>18</v>
      </c>
      <c r="B228" s="9">
        <v>45442</v>
      </c>
      <c r="C228" s="8" t="s">
        <v>49</v>
      </c>
      <c r="D228" s="8" t="s">
        <v>595</v>
      </c>
      <c r="E228" s="8">
        <v>4177872012</v>
      </c>
      <c r="F228" s="8">
        <v>7</v>
      </c>
      <c r="G228" s="8">
        <v>7.5</v>
      </c>
      <c r="H228" s="8">
        <v>7.5</v>
      </c>
      <c r="I228" s="8">
        <v>10</v>
      </c>
      <c r="J228" s="8">
        <v>5</v>
      </c>
      <c r="K228" s="8">
        <v>5</v>
      </c>
      <c r="L228" s="8">
        <v>7.5</v>
      </c>
      <c r="M228" s="8" t="s">
        <v>1146</v>
      </c>
      <c r="N228" s="8" t="s">
        <v>1147</v>
      </c>
      <c r="O228" s="8" t="s">
        <v>1148</v>
      </c>
      <c r="P228" s="8"/>
    </row>
    <row r="229" spans="1:16" ht="12.75" hidden="1">
      <c r="A229" s="8" t="s">
        <v>18</v>
      </c>
      <c r="B229" s="9">
        <v>45442</v>
      </c>
      <c r="C229" s="8" t="s">
        <v>1149</v>
      </c>
      <c r="D229" s="8" t="s">
        <v>1013</v>
      </c>
      <c r="E229" s="8">
        <v>4953852717</v>
      </c>
      <c r="F229" s="8">
        <v>10</v>
      </c>
      <c r="G229" s="8">
        <v>10</v>
      </c>
      <c r="H229" s="8">
        <v>10</v>
      </c>
      <c r="I229" s="8">
        <v>10</v>
      </c>
      <c r="J229" s="8">
        <v>10</v>
      </c>
      <c r="K229" s="8">
        <v>10</v>
      </c>
      <c r="L229" s="8">
        <v>10</v>
      </c>
      <c r="M229" s="8"/>
      <c r="N229" s="8"/>
      <c r="O229" s="8"/>
      <c r="P229" s="8"/>
    </row>
    <row r="230" spans="1:16" ht="12.75" hidden="1">
      <c r="A230" s="8" t="s">
        <v>18</v>
      </c>
      <c r="B230" s="9">
        <v>45443</v>
      </c>
      <c r="C230" s="8" t="s">
        <v>1150</v>
      </c>
      <c r="D230" s="8" t="s">
        <v>105</v>
      </c>
      <c r="E230" s="8">
        <v>4953483982</v>
      </c>
      <c r="F230" s="8">
        <v>8</v>
      </c>
      <c r="G230" s="8">
        <v>10</v>
      </c>
      <c r="H230" s="8">
        <v>7.5</v>
      </c>
      <c r="I230" s="8">
        <v>10</v>
      </c>
      <c r="J230" s="8">
        <v>7.5</v>
      </c>
      <c r="K230" s="8">
        <v>7.5</v>
      </c>
      <c r="L230" s="8">
        <v>7.5</v>
      </c>
      <c r="M230" s="8"/>
      <c r="N230" s="8" t="s">
        <v>1151</v>
      </c>
      <c r="O230" s="8"/>
      <c r="P230" s="8"/>
    </row>
    <row r="231" spans="1:16" ht="12.75" hidden="1">
      <c r="A231" s="8" t="s">
        <v>18</v>
      </c>
      <c r="B231" s="9">
        <v>45443</v>
      </c>
      <c r="C231" s="8" t="s">
        <v>1152</v>
      </c>
      <c r="D231" s="8" t="s">
        <v>54</v>
      </c>
      <c r="E231" s="8">
        <v>4870400704</v>
      </c>
      <c r="F231" s="8">
        <v>9</v>
      </c>
      <c r="G231" s="8">
        <v>10</v>
      </c>
      <c r="H231" s="8">
        <v>7.5</v>
      </c>
      <c r="I231" s="8">
        <v>10</v>
      </c>
      <c r="J231" s="8">
        <v>7.5</v>
      </c>
      <c r="K231" s="8">
        <v>7.5</v>
      </c>
      <c r="L231" s="8">
        <v>5</v>
      </c>
      <c r="M231" s="8" t="s">
        <v>1153</v>
      </c>
      <c r="N231" s="8" t="s">
        <v>1154</v>
      </c>
      <c r="O231" s="8"/>
      <c r="P231" s="8"/>
    </row>
    <row r="232" spans="1:16" ht="12.75" hidden="1">
      <c r="A232" s="8" t="s">
        <v>18</v>
      </c>
      <c r="B232" s="9">
        <v>45443</v>
      </c>
      <c r="C232" s="8" t="s">
        <v>1155</v>
      </c>
      <c r="D232" s="8" t="s">
        <v>33</v>
      </c>
      <c r="E232" s="8">
        <v>4892018670</v>
      </c>
      <c r="F232" s="8">
        <v>8.3000000000000007</v>
      </c>
      <c r="G232" s="8">
        <v>7.5</v>
      </c>
      <c r="H232" s="8">
        <v>7.5</v>
      </c>
      <c r="I232" s="8">
        <v>10</v>
      </c>
      <c r="J232" s="8">
        <v>7.5</v>
      </c>
      <c r="K232" s="8">
        <v>7.5</v>
      </c>
      <c r="L232" s="8">
        <v>10</v>
      </c>
      <c r="M232" s="8"/>
      <c r="N232" s="8"/>
      <c r="O232" s="8"/>
      <c r="P232" s="8"/>
    </row>
    <row r="233" spans="1:16" ht="12.75" hidden="1">
      <c r="A233" s="8" t="s">
        <v>18</v>
      </c>
      <c r="B233" s="9">
        <v>45443</v>
      </c>
      <c r="C233" s="8" t="s">
        <v>158</v>
      </c>
      <c r="D233" s="8" t="s">
        <v>45</v>
      </c>
      <c r="E233" s="8">
        <v>4438782528</v>
      </c>
      <c r="F233" s="8">
        <v>8.9</v>
      </c>
      <c r="G233" s="8">
        <v>10</v>
      </c>
      <c r="H233" s="8">
        <v>7.5</v>
      </c>
      <c r="I233" s="8">
        <v>10</v>
      </c>
      <c r="J233" s="8">
        <v>7.5</v>
      </c>
      <c r="K233" s="8">
        <v>7.5</v>
      </c>
      <c r="L233" s="8">
        <v>10</v>
      </c>
      <c r="M233" s="8"/>
      <c r="N233" s="8"/>
      <c r="O233" s="8"/>
      <c r="P233" s="8"/>
    </row>
    <row r="234" spans="1:16" ht="12.75" hidden="1">
      <c r="A234" s="8" t="s">
        <v>18</v>
      </c>
      <c r="B234" s="9">
        <v>45443</v>
      </c>
      <c r="C234" s="8" t="s">
        <v>1156</v>
      </c>
      <c r="D234" s="8" t="s">
        <v>28</v>
      </c>
      <c r="E234" s="8">
        <v>4784505305</v>
      </c>
      <c r="F234" s="8">
        <v>9.1999999999999993</v>
      </c>
      <c r="G234" s="8">
        <v>10</v>
      </c>
      <c r="H234" s="8">
        <v>10</v>
      </c>
      <c r="I234" s="8">
        <v>10</v>
      </c>
      <c r="J234" s="8">
        <v>5</v>
      </c>
      <c r="K234" s="8">
        <v>10</v>
      </c>
      <c r="L234" s="8">
        <v>10</v>
      </c>
      <c r="M234" s="8"/>
      <c r="N234" s="8"/>
      <c r="O234" s="8"/>
      <c r="P234" s="8"/>
    </row>
    <row r="235" spans="1:16" ht="12.75" hidden="1">
      <c r="A235" s="8" t="s">
        <v>350</v>
      </c>
      <c r="B235" s="9">
        <v>45415</v>
      </c>
      <c r="C235" s="8" t="s">
        <v>1157</v>
      </c>
      <c r="D235" s="8" t="s">
        <v>25</v>
      </c>
      <c r="E235" s="8">
        <v>227480838</v>
      </c>
      <c r="F235" s="8">
        <v>4</v>
      </c>
      <c r="G235" s="8">
        <v>8</v>
      </c>
      <c r="H235" s="8">
        <v>3</v>
      </c>
      <c r="I235" s="8">
        <v>6</v>
      </c>
      <c r="J235" s="8">
        <v>4</v>
      </c>
      <c r="K235" s="8">
        <v>3</v>
      </c>
      <c r="L235" s="8">
        <v>4</v>
      </c>
      <c r="M235" s="8" t="s">
        <v>1158</v>
      </c>
      <c r="N235" s="8" t="s">
        <v>1159</v>
      </c>
      <c r="O235" s="8" t="s">
        <v>1160</v>
      </c>
      <c r="P235" s="8"/>
    </row>
    <row r="236" spans="1:16" ht="12.75" hidden="1">
      <c r="A236" s="8" t="s">
        <v>350</v>
      </c>
      <c r="B236" s="9">
        <v>45418</v>
      </c>
      <c r="C236" s="8" t="s">
        <v>1161</v>
      </c>
      <c r="D236" s="8" t="s">
        <v>25</v>
      </c>
      <c r="E236" s="8">
        <v>228992230</v>
      </c>
      <c r="F236" s="8">
        <v>2</v>
      </c>
      <c r="G236" s="8"/>
      <c r="H236" s="8"/>
      <c r="I236" s="8"/>
      <c r="J236" s="8"/>
      <c r="K236" s="8"/>
      <c r="L236" s="8"/>
      <c r="M236" s="8"/>
      <c r="N236" s="8" t="s">
        <v>1162</v>
      </c>
      <c r="O236" s="8" t="s">
        <v>1163</v>
      </c>
      <c r="P236" s="8"/>
    </row>
    <row r="237" spans="1:16" ht="12.75" hidden="1">
      <c r="A237" s="8" t="s">
        <v>350</v>
      </c>
      <c r="B237" s="9">
        <v>45423</v>
      </c>
      <c r="C237" s="8" t="s">
        <v>1164</v>
      </c>
      <c r="D237" s="8" t="s">
        <v>134</v>
      </c>
      <c r="E237" s="8">
        <v>157389270</v>
      </c>
      <c r="F237" s="8">
        <v>6</v>
      </c>
      <c r="G237" s="8">
        <v>7</v>
      </c>
      <c r="H237" s="8">
        <v>5</v>
      </c>
      <c r="I237" s="8">
        <v>8</v>
      </c>
      <c r="J237" s="8">
        <v>6</v>
      </c>
      <c r="K237" s="8">
        <v>4</v>
      </c>
      <c r="L237" s="8">
        <v>5</v>
      </c>
      <c r="M237" s="8" t="s">
        <v>1165</v>
      </c>
      <c r="N237" s="8" t="s">
        <v>1166</v>
      </c>
      <c r="O237" s="8"/>
      <c r="P237" s="8"/>
    </row>
    <row r="238" spans="1:16" ht="12.75" hidden="1">
      <c r="A238" s="8" t="s">
        <v>350</v>
      </c>
      <c r="B238" s="9">
        <v>45427</v>
      </c>
      <c r="C238" s="8" t="s">
        <v>1167</v>
      </c>
      <c r="D238" s="8" t="s">
        <v>25</v>
      </c>
      <c r="E238" s="8">
        <v>199768036</v>
      </c>
      <c r="F238" s="8">
        <v>10</v>
      </c>
      <c r="G238" s="8"/>
      <c r="H238" s="8"/>
      <c r="I238" s="8"/>
      <c r="J238" s="8"/>
      <c r="K238" s="8"/>
      <c r="L238" s="8"/>
      <c r="M238" s="8"/>
      <c r="N238" s="8"/>
      <c r="O238" s="8"/>
      <c r="P238" s="8"/>
    </row>
    <row r="239" spans="1:16" ht="12.75" hidden="1">
      <c r="A239" s="8" t="s">
        <v>350</v>
      </c>
      <c r="B239" s="9">
        <v>45428</v>
      </c>
      <c r="C239" s="8" t="s">
        <v>450</v>
      </c>
      <c r="D239" s="8" t="s">
        <v>134</v>
      </c>
      <c r="E239" s="8">
        <v>227004085</v>
      </c>
      <c r="F239" s="8">
        <v>8</v>
      </c>
      <c r="G239" s="8"/>
      <c r="H239" s="8"/>
      <c r="I239" s="8"/>
      <c r="J239" s="8"/>
      <c r="K239" s="8"/>
      <c r="L239" s="8"/>
      <c r="M239" s="8"/>
      <c r="N239" s="8"/>
      <c r="O239" s="8"/>
      <c r="P239" s="8"/>
    </row>
    <row r="240" spans="1:16" ht="12.75" hidden="1">
      <c r="A240" s="8" t="s">
        <v>350</v>
      </c>
      <c r="B240" s="9">
        <v>45429</v>
      </c>
      <c r="C240" s="8" t="s">
        <v>1168</v>
      </c>
      <c r="D240" s="8"/>
      <c r="E240" s="8"/>
      <c r="F240" s="8">
        <v>6</v>
      </c>
      <c r="G240" s="8"/>
      <c r="H240" s="8"/>
      <c r="I240" s="8"/>
      <c r="J240" s="8"/>
      <c r="K240" s="8"/>
      <c r="L240" s="8"/>
      <c r="M240" s="8"/>
      <c r="N240" s="8"/>
      <c r="O240" s="8" t="s">
        <v>1169</v>
      </c>
      <c r="P240" s="8"/>
    </row>
    <row r="241" spans="1:16" ht="12.75" hidden="1">
      <c r="A241" s="8" t="s">
        <v>350</v>
      </c>
      <c r="B241" s="9">
        <v>45431</v>
      </c>
      <c r="C241" s="8" t="s">
        <v>1170</v>
      </c>
      <c r="D241" s="8"/>
      <c r="E241" s="8"/>
      <c r="F241" s="8">
        <v>6</v>
      </c>
      <c r="G241" s="8"/>
      <c r="H241" s="8"/>
      <c r="I241" s="8"/>
      <c r="J241" s="8"/>
      <c r="K241" s="8"/>
      <c r="L241" s="8"/>
      <c r="M241" s="8" t="s">
        <v>1171</v>
      </c>
      <c r="N241" s="8"/>
      <c r="O241" s="8" t="s">
        <v>1172</v>
      </c>
      <c r="P241" s="8"/>
    </row>
    <row r="242" spans="1:16" ht="12.75" hidden="1">
      <c r="A242" s="8" t="s">
        <v>350</v>
      </c>
      <c r="B242" s="9">
        <v>45438</v>
      </c>
      <c r="C242" s="8" t="s">
        <v>1173</v>
      </c>
      <c r="D242" s="8"/>
      <c r="E242" s="8"/>
      <c r="F242" s="8">
        <v>8</v>
      </c>
      <c r="G242" s="8"/>
      <c r="H242" s="8"/>
      <c r="I242" s="8"/>
      <c r="J242" s="8"/>
      <c r="K242" s="8"/>
      <c r="L242" s="8"/>
      <c r="M242" s="8" t="s">
        <v>1174</v>
      </c>
      <c r="N242" s="8"/>
      <c r="O242" s="8" t="s">
        <v>1175</v>
      </c>
      <c r="P242" s="8"/>
    </row>
    <row r="243" spans="1:16" ht="12.75" hidden="1">
      <c r="A243" s="8" t="s">
        <v>350</v>
      </c>
      <c r="B243" s="9">
        <v>45440</v>
      </c>
      <c r="C243" s="8" t="s">
        <v>756</v>
      </c>
      <c r="D243" s="8"/>
      <c r="E243" s="8"/>
      <c r="F243" s="8">
        <v>8</v>
      </c>
      <c r="G243" s="8"/>
      <c r="H243" s="8"/>
      <c r="I243" s="8"/>
      <c r="J243" s="8"/>
      <c r="K243" s="8"/>
      <c r="L243" s="8"/>
      <c r="M243" s="8"/>
      <c r="N243" s="8"/>
      <c r="O243" s="8" t="s">
        <v>1176</v>
      </c>
      <c r="P243" s="8"/>
    </row>
    <row r="244" spans="1:16" ht="12.75" hidden="1">
      <c r="A244" s="8" t="s">
        <v>350</v>
      </c>
      <c r="B244" s="9">
        <v>45441</v>
      </c>
      <c r="C244" s="8" t="s">
        <v>1177</v>
      </c>
      <c r="D244" s="8"/>
      <c r="E244" s="8"/>
      <c r="F244" s="8">
        <v>2</v>
      </c>
      <c r="G244" s="8"/>
      <c r="H244" s="8"/>
      <c r="I244" s="8"/>
      <c r="J244" s="8"/>
      <c r="K244" s="8"/>
      <c r="L244" s="8"/>
      <c r="M244" s="8"/>
      <c r="N244" s="8"/>
      <c r="O244" s="8"/>
      <c r="P244" s="8"/>
    </row>
    <row r="245" spans="1:16" ht="12.75" hidden="1">
      <c r="A245" s="8" t="s">
        <v>350</v>
      </c>
      <c r="B245" s="9">
        <v>45441</v>
      </c>
      <c r="C245" s="8" t="s">
        <v>1178</v>
      </c>
      <c r="D245" s="8"/>
      <c r="E245" s="8"/>
      <c r="F245" s="8">
        <v>6</v>
      </c>
      <c r="G245" s="8"/>
      <c r="H245" s="8"/>
      <c r="I245" s="8"/>
      <c r="J245" s="8"/>
      <c r="K245" s="8"/>
      <c r="L245" s="8"/>
      <c r="M245" s="8" t="s">
        <v>1179</v>
      </c>
      <c r="N245" s="8"/>
      <c r="O245" s="8" t="s">
        <v>1180</v>
      </c>
      <c r="P245" s="8"/>
    </row>
    <row r="246" spans="1:16" ht="12.75" hidden="1">
      <c r="A246" s="8" t="s">
        <v>386</v>
      </c>
      <c r="B246" s="9">
        <v>45413</v>
      </c>
      <c r="C246" s="8" t="s">
        <v>1181</v>
      </c>
      <c r="D246" s="8"/>
      <c r="E246" s="8"/>
      <c r="F246" s="8">
        <v>2</v>
      </c>
      <c r="G246" s="8">
        <v>1</v>
      </c>
      <c r="H246" s="8">
        <v>1</v>
      </c>
      <c r="I246" s="8">
        <v>4</v>
      </c>
      <c r="J246" s="8"/>
      <c r="K246" s="8">
        <v>1</v>
      </c>
      <c r="L246" s="8"/>
      <c r="M246" s="8"/>
      <c r="N246" s="8" t="s">
        <v>1182</v>
      </c>
      <c r="O246" s="8" t="s">
        <v>1183</v>
      </c>
      <c r="P246" s="8"/>
    </row>
    <row r="247" spans="1:16" ht="12.75" hidden="1">
      <c r="A247" s="8" t="s">
        <v>386</v>
      </c>
      <c r="B247" s="9">
        <v>45413</v>
      </c>
      <c r="C247" s="8" t="s">
        <v>1184</v>
      </c>
      <c r="D247" s="8"/>
      <c r="E247" s="8"/>
      <c r="F247" s="8">
        <v>6.5</v>
      </c>
      <c r="G247" s="8">
        <v>8</v>
      </c>
      <c r="H247" s="8"/>
      <c r="I247" s="8">
        <v>10</v>
      </c>
      <c r="J247" s="8">
        <v>4</v>
      </c>
      <c r="K247" s="8"/>
      <c r="L247" s="8"/>
      <c r="M247" s="8" t="s">
        <v>1185</v>
      </c>
      <c r="N247" s="8" t="s">
        <v>1186</v>
      </c>
      <c r="O247" s="8" t="s">
        <v>1187</v>
      </c>
      <c r="P247" s="8"/>
    </row>
    <row r="248" spans="1:16" ht="12.75" hidden="1">
      <c r="A248" s="8" t="s">
        <v>386</v>
      </c>
      <c r="B248" s="9">
        <v>45413</v>
      </c>
      <c r="C248" s="8" t="s">
        <v>1188</v>
      </c>
      <c r="D248" s="8"/>
      <c r="E248" s="8"/>
      <c r="F248" s="8">
        <v>10</v>
      </c>
      <c r="G248" s="8">
        <v>10</v>
      </c>
      <c r="H248" s="8">
        <v>10</v>
      </c>
      <c r="I248" s="8">
        <v>10</v>
      </c>
      <c r="J248" s="8">
        <v>10</v>
      </c>
      <c r="K248" s="8">
        <v>10</v>
      </c>
      <c r="L248" s="8">
        <v>10</v>
      </c>
      <c r="M248" s="8" t="s">
        <v>852</v>
      </c>
      <c r="N248" s="8"/>
      <c r="O248" s="8" t="s">
        <v>1189</v>
      </c>
      <c r="P248" s="8"/>
    </row>
    <row r="249" spans="1:16" ht="12.75" hidden="1">
      <c r="A249" s="8" t="s">
        <v>386</v>
      </c>
      <c r="B249" s="9">
        <v>45413</v>
      </c>
      <c r="C249" s="8" t="s">
        <v>1181</v>
      </c>
      <c r="D249" s="8"/>
      <c r="E249" s="8"/>
      <c r="F249" s="8">
        <v>2.5</v>
      </c>
      <c r="G249" s="8">
        <v>1</v>
      </c>
      <c r="H249" s="8">
        <v>1</v>
      </c>
      <c r="I249" s="8">
        <v>8</v>
      </c>
      <c r="J249" s="8"/>
      <c r="K249" s="8">
        <v>1</v>
      </c>
      <c r="L249" s="8"/>
      <c r="M249" s="8"/>
      <c r="N249" s="8" t="s">
        <v>1190</v>
      </c>
      <c r="O249" s="8" t="s">
        <v>1191</v>
      </c>
      <c r="P249" s="8"/>
    </row>
    <row r="250" spans="1:16" ht="12.75" hidden="1">
      <c r="A250" s="8" t="s">
        <v>386</v>
      </c>
      <c r="B250" s="9">
        <v>45420</v>
      </c>
      <c r="C250" s="8" t="s">
        <v>1184</v>
      </c>
      <c r="D250" s="8" t="s">
        <v>431</v>
      </c>
      <c r="E250" s="8">
        <v>4245422619</v>
      </c>
      <c r="F250" s="8">
        <v>6</v>
      </c>
      <c r="G250" s="8">
        <v>4</v>
      </c>
      <c r="H250" s="8"/>
      <c r="I250" s="8">
        <v>5</v>
      </c>
      <c r="J250" s="8"/>
      <c r="K250" s="8">
        <v>3</v>
      </c>
      <c r="L250" s="8"/>
      <c r="M250" s="8" t="s">
        <v>1192</v>
      </c>
      <c r="N250" s="8" t="s">
        <v>1193</v>
      </c>
      <c r="O250" s="8"/>
      <c r="P250" s="8"/>
    </row>
    <row r="251" spans="1:16" ht="12.75" hidden="1">
      <c r="A251" s="8" t="s">
        <v>386</v>
      </c>
      <c r="B251" s="9">
        <v>45420</v>
      </c>
      <c r="C251" s="8" t="s">
        <v>1188</v>
      </c>
      <c r="D251" s="8"/>
      <c r="E251" s="8"/>
      <c r="F251" s="8">
        <v>10</v>
      </c>
      <c r="G251" s="8">
        <v>5</v>
      </c>
      <c r="H251" s="8"/>
      <c r="I251" s="8">
        <v>5</v>
      </c>
      <c r="J251" s="8"/>
      <c r="K251" s="8">
        <v>5</v>
      </c>
      <c r="L251" s="8"/>
      <c r="M251" s="8" t="s">
        <v>1194</v>
      </c>
      <c r="N251" s="8"/>
      <c r="O251" s="8"/>
      <c r="P251" s="8"/>
    </row>
    <row r="252" spans="1:16" ht="12.75" hidden="1">
      <c r="A252" s="8" t="s">
        <v>386</v>
      </c>
      <c r="B252" s="9">
        <v>45426</v>
      </c>
      <c r="C252" s="8" t="s">
        <v>1195</v>
      </c>
      <c r="D252" s="8"/>
      <c r="E252" s="8"/>
      <c r="F252" s="8">
        <v>2</v>
      </c>
      <c r="G252" s="8">
        <v>3</v>
      </c>
      <c r="H252" s="8"/>
      <c r="I252" s="8">
        <v>3</v>
      </c>
      <c r="J252" s="8"/>
      <c r="K252" s="8">
        <v>1</v>
      </c>
      <c r="L252" s="8"/>
      <c r="M252" s="8" t="s">
        <v>1196</v>
      </c>
      <c r="N252" s="8" t="s">
        <v>1197</v>
      </c>
      <c r="O252" s="8"/>
      <c r="P252" s="8"/>
    </row>
    <row r="253" spans="1:16" ht="12.75" hidden="1">
      <c r="A253" s="8" t="s">
        <v>386</v>
      </c>
      <c r="B253" s="9">
        <v>45404</v>
      </c>
      <c r="C253" s="8" t="s">
        <v>688</v>
      </c>
      <c r="D253" s="8"/>
      <c r="E253" s="8"/>
      <c r="F253" s="8">
        <v>8</v>
      </c>
      <c r="G253" s="8"/>
      <c r="H253" s="8">
        <v>8</v>
      </c>
      <c r="I253" s="8">
        <v>10</v>
      </c>
      <c r="J253" s="8"/>
      <c r="K253" s="8">
        <v>8</v>
      </c>
      <c r="L253" s="8">
        <v>8</v>
      </c>
      <c r="M253" s="8" t="s">
        <v>1198</v>
      </c>
      <c r="N253" s="8" t="s">
        <v>1199</v>
      </c>
      <c r="O253" s="8" t="s">
        <v>1200</v>
      </c>
      <c r="P253" s="8"/>
    </row>
    <row r="254" spans="1:16" ht="12.75" hidden="1">
      <c r="A254" s="8" t="s">
        <v>386</v>
      </c>
      <c r="B254" s="9">
        <v>45434</v>
      </c>
      <c r="C254" s="8" t="s">
        <v>1201</v>
      </c>
      <c r="D254" s="8"/>
      <c r="E254" s="8"/>
      <c r="F254" s="8">
        <v>2</v>
      </c>
      <c r="G254" s="8">
        <v>6</v>
      </c>
      <c r="H254" s="8">
        <v>2</v>
      </c>
      <c r="I254" s="8">
        <v>8</v>
      </c>
      <c r="J254" s="8">
        <v>1</v>
      </c>
      <c r="K254" s="8">
        <v>1</v>
      </c>
      <c r="L254" s="8">
        <v>1</v>
      </c>
      <c r="M254" s="8" t="s">
        <v>1202</v>
      </c>
      <c r="N254" s="8" t="s">
        <v>1203</v>
      </c>
      <c r="O254" s="8" t="s">
        <v>1204</v>
      </c>
      <c r="P254" s="8"/>
    </row>
    <row r="255" spans="1:16" ht="12.75" hidden="1">
      <c r="A255" s="8" t="s">
        <v>386</v>
      </c>
      <c r="B255" s="9">
        <v>45435</v>
      </c>
      <c r="C255" s="8" t="s">
        <v>1205</v>
      </c>
      <c r="D255" s="8"/>
      <c r="E255" s="8"/>
      <c r="F255" s="8">
        <v>8</v>
      </c>
      <c r="G255" s="8"/>
      <c r="H255" s="8"/>
      <c r="I255" s="8"/>
      <c r="J255" s="8"/>
      <c r="K255" s="8"/>
      <c r="L255" s="8"/>
      <c r="M255" s="8"/>
      <c r="N255" s="8"/>
      <c r="O255" s="8"/>
      <c r="P255" s="8"/>
    </row>
    <row r="256" spans="1:16" ht="12.75" hidden="1">
      <c r="A256" s="8" t="s">
        <v>386</v>
      </c>
      <c r="B256" s="9">
        <v>45438</v>
      </c>
      <c r="C256" s="8" t="s">
        <v>1206</v>
      </c>
      <c r="D256" s="8"/>
      <c r="E256" s="8"/>
      <c r="F256" s="8">
        <v>2</v>
      </c>
      <c r="G256" s="8">
        <v>1</v>
      </c>
      <c r="H256" s="8">
        <v>1</v>
      </c>
      <c r="I256" s="8">
        <v>2</v>
      </c>
      <c r="J256" s="8"/>
      <c r="K256" s="8"/>
      <c r="L256" s="8"/>
      <c r="M256" s="8"/>
      <c r="N256" s="8" t="s">
        <v>1207</v>
      </c>
      <c r="O256" s="8" t="s">
        <v>1208</v>
      </c>
      <c r="P256" s="8"/>
    </row>
    <row r="257" spans="1:26" ht="12.75" hidden="1">
      <c r="A257" s="8" t="s">
        <v>386</v>
      </c>
      <c r="B257" s="9">
        <v>45441</v>
      </c>
      <c r="C257" s="8" t="s">
        <v>1209</v>
      </c>
      <c r="D257" s="8"/>
      <c r="E257" s="8"/>
      <c r="F257" s="8">
        <v>2</v>
      </c>
      <c r="G257" s="8">
        <v>2</v>
      </c>
      <c r="H257" s="8"/>
      <c r="I257" s="8">
        <v>4</v>
      </c>
      <c r="J257" s="8"/>
      <c r="K257" s="8">
        <v>1</v>
      </c>
      <c r="L257" s="8"/>
      <c r="M257" s="8"/>
      <c r="N257" s="8" t="s">
        <v>1210</v>
      </c>
      <c r="O257" s="8" t="s">
        <v>1211</v>
      </c>
      <c r="P257" s="8"/>
    </row>
    <row r="258" spans="1:26" ht="12.75">
      <c r="A258" s="8" t="s">
        <v>357</v>
      </c>
      <c r="B258" s="9">
        <v>45430</v>
      </c>
      <c r="C258" s="8" t="s">
        <v>1212</v>
      </c>
      <c r="D258" s="8" t="s">
        <v>54</v>
      </c>
      <c r="E258" s="8">
        <v>561716124</v>
      </c>
      <c r="F258" s="8">
        <v>4</v>
      </c>
      <c r="G258" s="8">
        <v>6</v>
      </c>
      <c r="H258" s="8">
        <v>2</v>
      </c>
      <c r="I258" s="8">
        <v>10</v>
      </c>
      <c r="J258" s="8">
        <v>2</v>
      </c>
      <c r="K258" s="8">
        <v>2</v>
      </c>
      <c r="L258" s="8">
        <v>2</v>
      </c>
      <c r="M258" s="8"/>
      <c r="N258" s="8" t="s">
        <v>1213</v>
      </c>
      <c r="O258" s="8" t="s">
        <v>1214</v>
      </c>
      <c r="P258" s="8"/>
    </row>
    <row r="259" spans="1:26" ht="12.75">
      <c r="A259" s="8" t="s">
        <v>357</v>
      </c>
      <c r="B259" s="9">
        <v>45436</v>
      </c>
      <c r="C259" s="10" t="s">
        <v>1215</v>
      </c>
      <c r="D259" s="8" t="s">
        <v>134</v>
      </c>
      <c r="E259" s="8">
        <v>561339110</v>
      </c>
      <c r="F259" s="8">
        <v>8.3000000000000007</v>
      </c>
      <c r="G259" s="8">
        <v>8</v>
      </c>
      <c r="H259" s="8">
        <v>8</v>
      </c>
      <c r="I259" s="8">
        <v>10</v>
      </c>
      <c r="J259" s="8">
        <v>8</v>
      </c>
      <c r="K259" s="8">
        <v>8</v>
      </c>
      <c r="L259" s="8">
        <v>8</v>
      </c>
      <c r="M259" s="8" t="s">
        <v>1216</v>
      </c>
      <c r="N259" s="8" t="s">
        <v>1217</v>
      </c>
      <c r="O259" s="8"/>
      <c r="P259" s="8"/>
    </row>
    <row r="260" spans="1:26" ht="12.75">
      <c r="A260" s="8" t="s">
        <v>357</v>
      </c>
      <c r="B260" s="9">
        <v>45442</v>
      </c>
      <c r="C260" s="10" t="s">
        <v>1218</v>
      </c>
      <c r="D260" s="8" t="s">
        <v>317</v>
      </c>
      <c r="E260" s="8">
        <v>561412727</v>
      </c>
      <c r="F260" s="8">
        <v>8.9</v>
      </c>
      <c r="G260" s="8">
        <v>10</v>
      </c>
      <c r="H260" s="8">
        <v>8</v>
      </c>
      <c r="I260" s="8">
        <v>10</v>
      </c>
      <c r="J260" s="8">
        <v>8</v>
      </c>
      <c r="K260" s="8">
        <v>10</v>
      </c>
      <c r="L260" s="8">
        <v>8</v>
      </c>
      <c r="M260" s="8" t="s">
        <v>1219</v>
      </c>
      <c r="N260" s="8" t="s">
        <v>1220</v>
      </c>
      <c r="O260" s="8" t="s">
        <v>1221</v>
      </c>
      <c r="P260" s="8"/>
    </row>
    <row r="261" spans="1:26" ht="12.75">
      <c r="A261" s="8" t="s">
        <v>357</v>
      </c>
      <c r="B261" s="9">
        <v>45437</v>
      </c>
      <c r="C261" s="10" t="s">
        <v>450</v>
      </c>
      <c r="D261" s="8" t="s">
        <v>134</v>
      </c>
      <c r="E261" s="8">
        <v>558733495</v>
      </c>
      <c r="F261" s="8">
        <v>8</v>
      </c>
      <c r="G261" s="8">
        <v>8</v>
      </c>
      <c r="H261" s="8">
        <v>8</v>
      </c>
      <c r="I261" s="8">
        <v>10</v>
      </c>
      <c r="J261" s="8">
        <v>6</v>
      </c>
      <c r="K261" s="8">
        <v>10</v>
      </c>
      <c r="L261" s="8">
        <v>8</v>
      </c>
      <c r="M261" s="8" t="s">
        <v>1222</v>
      </c>
      <c r="N261" s="8" t="s">
        <v>1223</v>
      </c>
      <c r="O261" s="8" t="s">
        <v>1224</v>
      </c>
      <c r="P261" s="8"/>
    </row>
    <row r="262" spans="1:26" ht="12.75" hidden="1">
      <c r="A262" s="8" t="s">
        <v>18</v>
      </c>
      <c r="B262" s="9">
        <v>45443</v>
      </c>
      <c r="C262" s="8" t="s">
        <v>713</v>
      </c>
      <c r="D262" s="8" t="s">
        <v>36</v>
      </c>
      <c r="E262" s="8">
        <v>4892169849</v>
      </c>
      <c r="F262" s="8">
        <v>9</v>
      </c>
      <c r="G262" s="8">
        <v>10</v>
      </c>
      <c r="H262" s="8">
        <v>10</v>
      </c>
      <c r="I262" s="8">
        <v>10</v>
      </c>
      <c r="J262" s="8">
        <v>7.5</v>
      </c>
      <c r="K262" s="8">
        <v>7.5</v>
      </c>
      <c r="L262" s="8">
        <v>7.5</v>
      </c>
      <c r="M262" s="8"/>
      <c r="N262" s="8"/>
      <c r="O262" s="8"/>
      <c r="P262" s="8"/>
      <c r="Q262" s="8"/>
      <c r="R262" s="8"/>
      <c r="S262" s="8"/>
      <c r="T262" s="8"/>
      <c r="U262" s="8"/>
      <c r="V262" s="8"/>
      <c r="W262" s="8"/>
      <c r="X262" s="8"/>
      <c r="Y262" s="8"/>
      <c r="Z262" s="8"/>
    </row>
    <row r="263" spans="1:26" ht="12.75" hidden="1">
      <c r="A263" s="8" t="s">
        <v>18</v>
      </c>
      <c r="B263" s="9">
        <v>45443</v>
      </c>
      <c r="C263" s="8" t="s">
        <v>1225</v>
      </c>
      <c r="D263" s="8" t="s">
        <v>148</v>
      </c>
      <c r="E263" s="8">
        <v>4592052335</v>
      </c>
      <c r="F263" s="8">
        <v>4</v>
      </c>
      <c r="G263" s="8">
        <v>5</v>
      </c>
      <c r="H263" s="8">
        <v>2.5</v>
      </c>
      <c r="I263" s="8">
        <v>10</v>
      </c>
      <c r="J263" s="8">
        <v>2.5</v>
      </c>
      <c r="K263" s="8">
        <v>2.5</v>
      </c>
      <c r="L263" s="8">
        <v>5</v>
      </c>
      <c r="M263" s="8" t="s">
        <v>1226</v>
      </c>
      <c r="N263" s="8" t="s">
        <v>1227</v>
      </c>
      <c r="O263" s="8" t="s">
        <v>1228</v>
      </c>
      <c r="P263" s="8"/>
      <c r="Q263" s="8"/>
      <c r="R263" s="8"/>
      <c r="S263" s="8"/>
      <c r="T263" s="8"/>
      <c r="U263" s="8"/>
      <c r="V263" s="8"/>
      <c r="W263" s="8"/>
      <c r="X263" s="8"/>
      <c r="Y263" s="8"/>
      <c r="Z263" s="8"/>
    </row>
    <row r="264" spans="1:26" ht="12.75" hidden="1">
      <c r="A264" s="8" t="s">
        <v>18</v>
      </c>
      <c r="B264" s="9">
        <v>45443</v>
      </c>
      <c r="C264" s="8" t="s">
        <v>1229</v>
      </c>
      <c r="D264" s="8" t="s">
        <v>847</v>
      </c>
      <c r="E264" s="8">
        <v>4323794320</v>
      </c>
      <c r="F264" s="8">
        <v>8</v>
      </c>
      <c r="G264" s="8">
        <v>7.5</v>
      </c>
      <c r="H264" s="8">
        <v>7.5</v>
      </c>
      <c r="I264" s="8">
        <v>10</v>
      </c>
      <c r="J264" s="8">
        <v>7.5</v>
      </c>
      <c r="K264" s="8">
        <v>7.5</v>
      </c>
      <c r="L264" s="8">
        <v>10</v>
      </c>
      <c r="M264" s="8" t="s">
        <v>1230</v>
      </c>
      <c r="N264" s="8" t="s">
        <v>1231</v>
      </c>
      <c r="O264" s="8"/>
      <c r="P264" s="8"/>
      <c r="Q264" s="8"/>
      <c r="R264" s="8"/>
      <c r="S264" s="8"/>
      <c r="T264" s="8"/>
      <c r="U264" s="8"/>
      <c r="V264" s="8"/>
      <c r="W264" s="8"/>
      <c r="X264" s="8"/>
      <c r="Y264" s="8"/>
      <c r="Z264" s="8"/>
    </row>
    <row r="265" spans="1:26" ht="12.75" hidden="1">
      <c r="A265" s="85" t="s">
        <v>1232</v>
      </c>
      <c r="B265" s="71"/>
      <c r="C265" s="71"/>
      <c r="D265" s="71"/>
      <c r="E265" s="71"/>
      <c r="F265" s="84">
        <f t="shared" ref="F265:L265" si="0">COUNTIF(F2:F264,"&lt;6")</f>
        <v>59</v>
      </c>
      <c r="G265" s="84">
        <f t="shared" si="0"/>
        <v>34</v>
      </c>
      <c r="H265" s="84">
        <f t="shared" si="0"/>
        <v>87</v>
      </c>
      <c r="I265" s="84">
        <f t="shared" si="0"/>
        <v>17</v>
      </c>
      <c r="J265" s="84">
        <f t="shared" si="0"/>
        <v>85</v>
      </c>
      <c r="K265" s="84">
        <f t="shared" si="0"/>
        <v>70</v>
      </c>
      <c r="L265" s="84">
        <f t="shared" si="0"/>
        <v>64</v>
      </c>
      <c r="M265" s="71"/>
      <c r="N265" s="71"/>
      <c r="O265" s="71"/>
    </row>
    <row r="266" spans="1:26" ht="12.75" hidden="1">
      <c r="A266" s="71"/>
      <c r="B266" s="71"/>
      <c r="C266" s="71"/>
      <c r="D266" s="71"/>
      <c r="E266" s="71"/>
      <c r="F266" s="71"/>
      <c r="G266" s="71"/>
      <c r="H266" s="71"/>
      <c r="I266" s="71"/>
      <c r="J266" s="71"/>
      <c r="K266" s="71"/>
      <c r="L266" s="71"/>
      <c r="M266" s="71"/>
      <c r="N266" s="71"/>
      <c r="O266" s="71"/>
    </row>
    <row r="267" spans="1:26" ht="12.75" hidden="1">
      <c r="A267" s="85" t="s">
        <v>1233</v>
      </c>
      <c r="B267" s="71"/>
      <c r="C267" s="71"/>
      <c r="D267" s="71"/>
      <c r="E267" s="71"/>
      <c r="F267" s="86">
        <f t="shared" ref="F267:L267" si="1">(COUNTIF(F1:F264,"&lt;6")/COUNT(F1:F264))*100</f>
        <v>22.433460076045627</v>
      </c>
      <c r="G267" s="86">
        <f t="shared" si="1"/>
        <v>13.765182186234817</v>
      </c>
      <c r="H267" s="86">
        <f t="shared" si="1"/>
        <v>35.222672064777328</v>
      </c>
      <c r="I267" s="86">
        <f t="shared" si="1"/>
        <v>6.7193675889328066</v>
      </c>
      <c r="J267" s="86">
        <f t="shared" si="1"/>
        <v>35.714285714285715</v>
      </c>
      <c r="K267" s="86">
        <f t="shared" si="1"/>
        <v>28.455284552845526</v>
      </c>
      <c r="L267" s="86">
        <f t="shared" si="1"/>
        <v>26.446280991735538</v>
      </c>
      <c r="M267" s="71"/>
      <c r="N267" s="71"/>
      <c r="O267" s="71"/>
    </row>
    <row r="268" spans="1:26" ht="12.75" hidden="1">
      <c r="A268" s="71"/>
      <c r="B268" s="71"/>
      <c r="C268" s="71"/>
      <c r="D268" s="71"/>
      <c r="E268" s="71"/>
      <c r="F268" s="71"/>
      <c r="G268" s="71"/>
      <c r="H268" s="71"/>
      <c r="I268" s="71"/>
      <c r="J268" s="71"/>
      <c r="K268" s="71"/>
      <c r="L268" s="71"/>
      <c r="M268" s="71"/>
      <c r="N268" s="71"/>
      <c r="O268" s="71"/>
    </row>
    <row r="269" spans="1:26" ht="12.75" hidden="1"/>
    <row r="270" spans="1:26" ht="12.75" hidden="1"/>
    <row r="271" spans="1:26" ht="12.75" hidden="1"/>
    <row r="272" spans="1:26" ht="12.75" hidden="1"/>
    <row r="273" ht="12.75" hidden="1"/>
    <row r="274" ht="12.75" hidden="1"/>
    <row r="275" ht="12.75" hidden="1"/>
    <row r="276" ht="12.75" hidden="1"/>
    <row r="277" ht="12.75" hidden="1"/>
    <row r="278" ht="12.75" hidden="1"/>
    <row r="279" ht="12.75" hidden="1"/>
    <row r="280" ht="12.75" hidden="1"/>
    <row r="281" ht="12.75" hidden="1"/>
    <row r="282" ht="12.75" hidden="1"/>
    <row r="283" ht="12.75" hidden="1"/>
    <row r="284" ht="12.75" hidden="1"/>
    <row r="285" ht="12.75" hidden="1"/>
    <row r="286" ht="12.75" hidden="1"/>
    <row r="287" ht="12.75" hidden="1"/>
    <row r="288" ht="12.75" hidden="1"/>
    <row r="289" ht="12.75" hidden="1"/>
    <row r="290" ht="12.75" hidden="1"/>
    <row r="291" ht="12.75" hidden="1"/>
    <row r="292" ht="12.75" hidden="1"/>
    <row r="293" ht="12.75" hidden="1"/>
    <row r="294" ht="12.75" hidden="1"/>
    <row r="295" ht="12.75" hidden="1"/>
    <row r="296" ht="12.75" hidden="1"/>
    <row r="297" ht="12.75" hidden="1"/>
    <row r="298" ht="12.75" hidden="1"/>
    <row r="299" ht="12.75" hidden="1"/>
    <row r="300" ht="12.75" hidden="1"/>
    <row r="301" ht="12.75" hidden="1"/>
    <row r="302" ht="12.75" hidden="1"/>
    <row r="303" ht="12.75" hidden="1"/>
    <row r="304" ht="12.75" hidden="1"/>
    <row r="305" ht="12.75" hidden="1"/>
    <row r="306" ht="12.75" hidden="1"/>
    <row r="307" ht="12.75" hidden="1"/>
    <row r="308" ht="12.75" hidden="1"/>
    <row r="309" ht="12.75" hidden="1"/>
    <row r="310" ht="12.75" hidden="1"/>
    <row r="311" ht="12.75" hidden="1"/>
    <row r="312" ht="12.75" hidden="1"/>
    <row r="313" ht="12.75" hidden="1"/>
    <row r="314" ht="12.75" hidden="1"/>
    <row r="315" ht="12.75" hidden="1"/>
    <row r="316" ht="12.75" hidden="1"/>
    <row r="317" ht="12.75" hidden="1"/>
    <row r="318" ht="12.75" hidden="1"/>
    <row r="319" ht="12.75" hidden="1"/>
    <row r="320" ht="12.75" hidden="1"/>
    <row r="321" ht="12.75" hidden="1"/>
    <row r="322" ht="12.75" hidden="1"/>
    <row r="323" ht="12.75" hidden="1"/>
    <row r="324" ht="12.75" hidden="1"/>
    <row r="325" ht="12.75" hidden="1"/>
    <row r="326" ht="12.75" hidden="1"/>
    <row r="327" ht="12.75" hidden="1"/>
    <row r="328" ht="12.75" hidden="1"/>
    <row r="329" ht="12.75" hidden="1"/>
    <row r="330" ht="12.75" hidden="1"/>
    <row r="331" ht="12.75" hidden="1"/>
    <row r="332" ht="12.75" hidden="1"/>
    <row r="333" ht="12.75" hidden="1"/>
    <row r="334" ht="12.75" hidden="1"/>
    <row r="335" ht="12.75" hidden="1"/>
    <row r="336" ht="12.75" hidden="1"/>
    <row r="337" ht="12.75" hidden="1"/>
    <row r="338" ht="12.75" hidden="1"/>
    <row r="339" ht="12.75" hidden="1"/>
    <row r="340" ht="12.75" hidden="1"/>
    <row r="341" ht="12.75" hidden="1"/>
    <row r="342" ht="12.75" hidden="1"/>
    <row r="343" ht="12.75" hidden="1"/>
    <row r="344" ht="12.75" hidden="1"/>
    <row r="345" ht="12.75" hidden="1"/>
    <row r="346" ht="12.75" hidden="1"/>
    <row r="347" ht="12.75" hidden="1"/>
    <row r="348" ht="12.75" hidden="1"/>
    <row r="349" ht="12.75" hidden="1"/>
    <row r="350" ht="12.75" hidden="1"/>
    <row r="351" ht="12.75" hidden="1"/>
    <row r="352" ht="12.75" hidden="1"/>
    <row r="353" ht="12.75" hidden="1"/>
    <row r="354" ht="12.75" hidden="1"/>
    <row r="355" ht="12.75" hidden="1"/>
    <row r="356" ht="12.75" hidden="1"/>
    <row r="357" ht="12.75" hidden="1"/>
    <row r="358" ht="12.75" hidden="1"/>
    <row r="359" ht="12.75" hidden="1"/>
    <row r="360" ht="12.75" hidden="1"/>
    <row r="361" ht="12.75" hidden="1"/>
    <row r="362" ht="12.75" hidden="1"/>
    <row r="363" ht="12.75" hidden="1"/>
    <row r="364" ht="12.75" hidden="1"/>
    <row r="365" ht="12.75" hidden="1"/>
    <row r="366" ht="12.75" hidden="1"/>
    <row r="367" ht="12.75" hidden="1"/>
    <row r="368" ht="12.75" hidden="1"/>
    <row r="369" ht="12.75" hidden="1"/>
    <row r="370" ht="12.75" hidden="1"/>
    <row r="371" ht="12.75" hidden="1"/>
    <row r="372" ht="12.75" hidden="1"/>
    <row r="373" ht="12.75" hidden="1"/>
    <row r="374" ht="12.75" hidden="1"/>
    <row r="375" ht="12.75" hidden="1"/>
    <row r="376" ht="12.75" hidden="1"/>
    <row r="377" ht="12.75" hidden="1"/>
    <row r="378" ht="12.75" hidden="1"/>
    <row r="379" ht="12.75" hidden="1"/>
    <row r="380" ht="12.75" hidden="1"/>
    <row r="381" ht="12.75" hidden="1"/>
    <row r="382" ht="12.75" hidden="1"/>
    <row r="383" ht="12.75" hidden="1"/>
    <row r="384" ht="12.75" hidden="1"/>
    <row r="385" ht="12.75" hidden="1"/>
    <row r="386" ht="12.75" hidden="1"/>
    <row r="387" ht="12.75" hidden="1"/>
    <row r="388" ht="12.75" hidden="1"/>
    <row r="389" ht="12.75" hidden="1"/>
    <row r="390" ht="12.75" hidden="1"/>
    <row r="391" ht="12.75" hidden="1"/>
    <row r="392" ht="12.75" hidden="1"/>
    <row r="393" ht="12.75" hidden="1"/>
    <row r="394" ht="12.75" hidden="1"/>
    <row r="395" ht="12.75" hidden="1"/>
    <row r="396" ht="12.75" hidden="1"/>
    <row r="397" ht="12.75" hidden="1"/>
    <row r="398" ht="12.75" hidden="1"/>
    <row r="399" ht="12.75" hidden="1"/>
    <row r="400" ht="12.75" hidden="1"/>
    <row r="401" ht="12.75" hidden="1"/>
    <row r="402" ht="12.75" hidden="1"/>
    <row r="403" ht="12.75" hidden="1"/>
    <row r="404" ht="12.75" hidden="1"/>
    <row r="405" ht="12.75" hidden="1"/>
    <row r="406" ht="12.75" hidden="1"/>
    <row r="407" ht="12.75" hidden="1"/>
    <row r="408" ht="12.75" hidden="1"/>
    <row r="409" ht="12.75" hidden="1"/>
    <row r="410" ht="12.75" hidden="1"/>
    <row r="411" ht="12.75" hidden="1"/>
    <row r="412" ht="12.75" hidden="1"/>
    <row r="413" ht="12.75" hidden="1"/>
    <row r="414" ht="12.75" hidden="1"/>
    <row r="415" ht="12.75" hidden="1"/>
    <row r="416" ht="12.75" hidden="1"/>
    <row r="417" ht="12.75" hidden="1"/>
    <row r="418" ht="12.75" hidden="1"/>
    <row r="419" ht="12.75" hidden="1"/>
    <row r="420" ht="12.75" hidden="1"/>
    <row r="421" ht="12.75" hidden="1"/>
    <row r="422" ht="12.75" hidden="1"/>
    <row r="423" ht="12.75" hidden="1"/>
    <row r="424" ht="12.75" hidden="1"/>
    <row r="425" ht="12.75" hidden="1"/>
    <row r="426" ht="12.75" hidden="1"/>
    <row r="427" ht="12.75" hidden="1"/>
    <row r="428" ht="12.75" hidden="1"/>
    <row r="429" ht="12.75" hidden="1"/>
    <row r="430" ht="12.75" hidden="1"/>
    <row r="431" ht="12.75" hidden="1"/>
    <row r="432" ht="12.75" hidden="1"/>
    <row r="433" ht="12.75" hidden="1"/>
    <row r="434" ht="12.75" hidden="1"/>
    <row r="435" ht="12.75" hidden="1"/>
    <row r="436" ht="12.75" hidden="1"/>
    <row r="437" ht="12.75" hidden="1"/>
    <row r="438" ht="12.75" hidden="1"/>
    <row r="439" ht="12.75" hidden="1"/>
    <row r="440" ht="12.75" hidden="1"/>
    <row r="441" ht="12.75" hidden="1"/>
    <row r="442" ht="12.75" hidden="1"/>
    <row r="443" ht="12.75" hidden="1"/>
    <row r="444" ht="12.75" hidden="1"/>
    <row r="445" ht="12.75" hidden="1"/>
    <row r="446" ht="12.75" hidden="1"/>
    <row r="447" ht="12.75" hidden="1"/>
    <row r="448" ht="12.75" hidden="1"/>
    <row r="449" ht="12.75" hidden="1"/>
    <row r="450" ht="12.75" hidden="1"/>
    <row r="451" ht="12.75" hidden="1"/>
    <row r="452" ht="12.75" hidden="1"/>
    <row r="453" ht="12.75" hidden="1"/>
    <row r="454" ht="12.75" hidden="1"/>
    <row r="455" ht="12.75" hidden="1"/>
    <row r="456" ht="12.75" hidden="1"/>
    <row r="457" ht="12.75" hidden="1"/>
    <row r="458" ht="12.75" hidden="1"/>
    <row r="459" ht="12.75" hidden="1"/>
    <row r="460" ht="12.75" hidden="1"/>
    <row r="461" ht="12.75" hidden="1"/>
    <row r="462" ht="12.75" hidden="1"/>
    <row r="463" ht="12.75" hidden="1"/>
    <row r="464" ht="12.75" hidden="1"/>
    <row r="465" ht="12.75" hidden="1"/>
    <row r="466" ht="12.75" hidden="1"/>
    <row r="467" ht="12.75" hidden="1"/>
    <row r="468" ht="12.75" hidden="1"/>
    <row r="469" ht="12.75" hidden="1"/>
    <row r="470" ht="12.75" hidden="1"/>
    <row r="471" ht="12.75" hidden="1"/>
    <row r="472" ht="12.75" hidden="1"/>
    <row r="473" ht="12.75" hidden="1"/>
    <row r="474" ht="12.75" hidden="1"/>
    <row r="475" ht="12.75" hidden="1"/>
    <row r="476" ht="12.75" hidden="1"/>
    <row r="477" ht="12.75" hidden="1"/>
    <row r="478" ht="12.75" hidden="1"/>
    <row r="479" ht="12.75" hidden="1"/>
    <row r="480" ht="12.75" hidden="1"/>
    <row r="481" ht="12.75" hidden="1"/>
    <row r="482" ht="12.75" hidden="1"/>
    <row r="483" ht="12.75" hidden="1"/>
    <row r="484" ht="12.75" hidden="1"/>
    <row r="485" ht="12.75" hidden="1"/>
    <row r="486" ht="12.75" hidden="1"/>
    <row r="487" ht="12.75" hidden="1"/>
    <row r="488" ht="12.75" hidden="1"/>
    <row r="489" ht="12.75" hidden="1"/>
    <row r="490" ht="12.75" hidden="1"/>
    <row r="491" ht="12.75" hidden="1"/>
    <row r="492" ht="12.75" hidden="1"/>
    <row r="493" ht="12.75" hidden="1"/>
    <row r="494" ht="12.75" hidden="1"/>
    <row r="495" ht="12.75" hidden="1"/>
    <row r="496" ht="12.75" hidden="1"/>
    <row r="497" ht="12.75" hidden="1"/>
    <row r="498" ht="12.75" hidden="1"/>
    <row r="499" ht="12.75" hidden="1"/>
    <row r="500" ht="12.75" hidden="1"/>
    <row r="501" ht="12.75" hidden="1"/>
    <row r="502" ht="12.75" hidden="1"/>
    <row r="503" ht="12.75" hidden="1"/>
    <row r="504" ht="12.75" hidden="1"/>
    <row r="505" ht="12.75" hidden="1"/>
    <row r="506" ht="12.75" hidden="1"/>
    <row r="507" ht="12.75" hidden="1"/>
    <row r="508" ht="12.75" hidden="1"/>
    <row r="509" ht="12.75" hidden="1"/>
    <row r="510" ht="12.75" hidden="1"/>
    <row r="511" ht="12.75" hidden="1"/>
    <row r="512" ht="12.75" hidden="1"/>
    <row r="513" ht="12.75" hidden="1"/>
    <row r="514" ht="12.75" hidden="1"/>
    <row r="515" ht="12.75" hidden="1"/>
    <row r="516" ht="12.75" hidden="1"/>
    <row r="517" ht="12.75" hidden="1"/>
    <row r="518" ht="12.75" hidden="1"/>
    <row r="519" ht="12.75" hidden="1"/>
    <row r="520" ht="12.75" hidden="1"/>
    <row r="521" ht="12.75" hidden="1"/>
    <row r="522" ht="12.75" hidden="1"/>
    <row r="523" ht="12.75" hidden="1"/>
    <row r="524" ht="12.75" hidden="1"/>
    <row r="525" ht="12.75" hidden="1"/>
    <row r="526" ht="12.75" hidden="1"/>
    <row r="527" ht="12.75" hidden="1"/>
    <row r="528" ht="12.75" hidden="1"/>
    <row r="529" ht="12.75" hidden="1"/>
    <row r="530" ht="12.75" hidden="1"/>
    <row r="531" ht="12.75" hidden="1"/>
    <row r="532" ht="12.75" hidden="1"/>
    <row r="533" ht="12.75" hidden="1"/>
    <row r="534" ht="12.75" hidden="1"/>
    <row r="535" ht="12.75" hidden="1"/>
    <row r="536" ht="12.75" hidden="1"/>
    <row r="537" ht="12.75" hidden="1"/>
    <row r="538" ht="12.75" hidden="1"/>
    <row r="539" ht="12.75" hidden="1"/>
    <row r="540" ht="12.75" hidden="1"/>
    <row r="541" ht="12.75" hidden="1"/>
    <row r="542" ht="12.75" hidden="1"/>
    <row r="543" ht="12.75" hidden="1"/>
    <row r="544" ht="12.75" hidden="1"/>
    <row r="545" ht="12.75" hidden="1"/>
    <row r="546" ht="12.75" hidden="1"/>
    <row r="547" ht="12.75" hidden="1"/>
    <row r="548" ht="12.75" hidden="1"/>
    <row r="549" ht="12.75" hidden="1"/>
    <row r="550" ht="12.75" hidden="1"/>
    <row r="551" ht="12.75" hidden="1"/>
    <row r="552" ht="12.75" hidden="1"/>
    <row r="553" ht="12.75" hidden="1"/>
    <row r="554" ht="12.75" hidden="1"/>
    <row r="555" ht="12.75" hidden="1"/>
    <row r="556" ht="12.75" hidden="1"/>
    <row r="557" ht="12.75" hidden="1"/>
    <row r="558" ht="12.75" hidden="1"/>
    <row r="559" ht="12.75" hidden="1"/>
    <row r="560" ht="12.75" hidden="1"/>
    <row r="561" ht="12.75" hidden="1"/>
    <row r="562" ht="12.75" hidden="1"/>
    <row r="563" ht="12.75" hidden="1"/>
    <row r="564" ht="12.75" hidden="1"/>
    <row r="565" ht="12.75" hidden="1"/>
    <row r="566" ht="12.75" hidden="1"/>
    <row r="567" ht="12.75" hidden="1"/>
    <row r="568" ht="12.75" hidden="1"/>
    <row r="569" ht="12.75" hidden="1"/>
    <row r="570" ht="12.75" hidden="1"/>
    <row r="571" ht="12.75" hidden="1"/>
    <row r="572" ht="12.75" hidden="1"/>
    <row r="573" ht="12.75" hidden="1"/>
    <row r="574" ht="12.75" hidden="1"/>
    <row r="575" ht="12.75" hidden="1"/>
    <row r="576" ht="12.75" hidden="1"/>
    <row r="577" ht="12.75" hidden="1"/>
    <row r="578" ht="12.75" hidden="1"/>
    <row r="579" ht="12.75" hidden="1"/>
    <row r="580" ht="12.75" hidden="1"/>
    <row r="581" ht="12.75" hidden="1"/>
    <row r="582" ht="12.75" hidden="1"/>
    <row r="583" ht="12.75" hidden="1"/>
    <row r="584" ht="12.75" hidden="1"/>
    <row r="585" ht="12.75" hidden="1"/>
    <row r="586" ht="12.75" hidden="1"/>
    <row r="587" ht="12.75" hidden="1"/>
    <row r="588" ht="12.75" hidden="1"/>
    <row r="589" ht="12.75" hidden="1"/>
    <row r="590" ht="12.75" hidden="1"/>
    <row r="591" ht="12.75" hidden="1"/>
    <row r="592" ht="12.75" hidden="1"/>
    <row r="593" ht="12.75" hidden="1"/>
    <row r="594" ht="12.75" hidden="1"/>
    <row r="595" ht="12.75" hidden="1"/>
    <row r="596" ht="12.75" hidden="1"/>
    <row r="597" ht="12.75" hidden="1"/>
    <row r="598" ht="12.75" hidden="1"/>
    <row r="599" ht="12.75" hidden="1"/>
    <row r="600" ht="12.75" hidden="1"/>
    <row r="601" ht="12.75" hidden="1"/>
    <row r="602" ht="12.75" hidden="1"/>
    <row r="603" ht="12.75" hidden="1"/>
    <row r="604" ht="12.75" hidden="1"/>
    <row r="605" ht="12.75" hidden="1"/>
    <row r="606" ht="12.75" hidden="1"/>
    <row r="607" ht="12.75" hidden="1"/>
    <row r="608" ht="12.75" hidden="1"/>
    <row r="609" ht="12.75" hidden="1"/>
    <row r="610" ht="12.75" hidden="1"/>
    <row r="611" ht="12.75" hidden="1"/>
    <row r="612" ht="12.75" hidden="1"/>
    <row r="613" ht="12.75" hidden="1"/>
    <row r="614" ht="12.75" hidden="1"/>
    <row r="615" ht="12.75" hidden="1"/>
    <row r="616" ht="12.75" hidden="1"/>
    <row r="617" ht="12.75" hidden="1"/>
    <row r="618" ht="12.75" hidden="1"/>
    <row r="619" ht="12.75" hidden="1"/>
    <row r="620" ht="12.75" hidden="1"/>
    <row r="621" ht="12.75" hidden="1"/>
    <row r="622" ht="12.75" hidden="1"/>
    <row r="623" ht="12.75" hidden="1"/>
    <row r="624" ht="12.75" hidden="1"/>
    <row r="625" ht="12.75" hidden="1"/>
    <row r="626" ht="12.75" hidden="1"/>
    <row r="627" ht="12.75" hidden="1"/>
    <row r="628" ht="12.75" hidden="1"/>
    <row r="629" ht="12.75" hidden="1"/>
    <row r="630" ht="12.75" hidden="1"/>
    <row r="631" ht="12.75" hidden="1"/>
    <row r="632" ht="12.75" hidden="1"/>
    <row r="633" ht="12.75" hidden="1"/>
    <row r="634" ht="12.75" hidden="1"/>
    <row r="635" ht="12.75" hidden="1"/>
    <row r="636" ht="12.75" hidden="1"/>
    <row r="637" ht="12.75" hidden="1"/>
    <row r="638" ht="12.75" hidden="1"/>
    <row r="639" ht="12.75" hidden="1"/>
    <row r="640" ht="12.75" hidden="1"/>
    <row r="641" ht="12.75" hidden="1"/>
    <row r="642" ht="12.75" hidden="1"/>
    <row r="643" ht="12.75" hidden="1"/>
    <row r="644" ht="12.75" hidden="1"/>
    <row r="645" ht="12.75" hidden="1"/>
    <row r="646" ht="12.75" hidden="1"/>
    <row r="647" ht="12.75" hidden="1"/>
    <row r="648" ht="12.75" hidden="1"/>
    <row r="649" ht="12.75" hidden="1"/>
    <row r="650" ht="12.75" hidden="1"/>
    <row r="651" ht="12.75" hidden="1"/>
    <row r="652" ht="12.75" hidden="1"/>
    <row r="653" ht="12.75" hidden="1"/>
    <row r="654" ht="12.75" hidden="1"/>
    <row r="655" ht="12.75" hidden="1"/>
    <row r="656" ht="12.75" hidden="1"/>
    <row r="657" ht="12.75" hidden="1"/>
    <row r="658" ht="12.75" hidden="1"/>
    <row r="659" ht="12.75" hidden="1"/>
    <row r="660" ht="12.75" hidden="1"/>
    <row r="661" ht="12.75" hidden="1"/>
    <row r="662" ht="12.75" hidden="1"/>
    <row r="663" ht="12.75" hidden="1"/>
    <row r="664" ht="12.75" hidden="1"/>
    <row r="665" ht="12.75" hidden="1"/>
    <row r="666" ht="12.75" hidden="1"/>
    <row r="667" ht="12.75" hidden="1"/>
    <row r="668" ht="12.75" hidden="1"/>
    <row r="669" ht="12.75" hidden="1"/>
    <row r="670" ht="12.75" hidden="1"/>
    <row r="671" ht="12.75" hidden="1"/>
    <row r="672" ht="12.75" hidden="1"/>
    <row r="673" ht="12.75" hidden="1"/>
    <row r="674" ht="12.75" hidden="1"/>
    <row r="675" ht="12.75" hidden="1"/>
    <row r="676" ht="12.75" hidden="1"/>
    <row r="677" ht="12.75" hidden="1"/>
    <row r="678" ht="12.75" hidden="1"/>
    <row r="679" ht="12.75" hidden="1"/>
    <row r="680" ht="12.75" hidden="1"/>
    <row r="681" ht="12.75" hidden="1"/>
    <row r="682" ht="12.75" hidden="1"/>
    <row r="683" ht="12.75" hidden="1"/>
    <row r="684" ht="12.75" hidden="1"/>
    <row r="685" ht="12.75" hidden="1"/>
    <row r="686" ht="12.75" hidden="1"/>
    <row r="687" ht="12.75" hidden="1"/>
    <row r="688" ht="12.75" hidden="1"/>
    <row r="689" ht="12.75" hidden="1"/>
    <row r="690" ht="12.75" hidden="1"/>
    <row r="691" ht="12.75" hidden="1"/>
    <row r="692" ht="12.75" hidden="1"/>
    <row r="693" ht="12.75" hidden="1"/>
    <row r="694" ht="12.75" hidden="1"/>
    <row r="695" ht="12.75" hidden="1"/>
    <row r="696" ht="12.75" hidden="1"/>
    <row r="697" ht="12.75" hidden="1"/>
    <row r="698" ht="12.75" hidden="1"/>
    <row r="699" ht="12.75" hidden="1"/>
    <row r="700" ht="12.75" hidden="1"/>
    <row r="701" ht="12.75" hidden="1"/>
    <row r="702" ht="12.75" hidden="1"/>
    <row r="703" ht="12.75" hidden="1"/>
    <row r="704" ht="12.75" hidden="1"/>
    <row r="705" ht="12.75" hidden="1"/>
    <row r="706" ht="12.75" hidden="1"/>
    <row r="707" ht="12.75" hidden="1"/>
    <row r="708" ht="12.75" hidden="1"/>
    <row r="709" ht="12.75" hidden="1"/>
    <row r="710" ht="12.75" hidden="1"/>
    <row r="711" ht="12.75" hidden="1"/>
    <row r="712" ht="12.75" hidden="1"/>
    <row r="713" ht="12.75" hidden="1"/>
    <row r="714" ht="12.75" hidden="1"/>
    <row r="715" ht="12.75" hidden="1"/>
    <row r="716" ht="12.75" hidden="1"/>
    <row r="717" ht="12.75" hidden="1"/>
    <row r="718" ht="12.75" hidden="1"/>
    <row r="719" ht="12.75" hidden="1"/>
    <row r="720" ht="12.75" hidden="1"/>
    <row r="721" ht="12.75" hidden="1"/>
    <row r="722" ht="12.75" hidden="1"/>
    <row r="723" ht="12.75" hidden="1"/>
    <row r="724" ht="12.75" hidden="1"/>
    <row r="725" ht="12.75" hidden="1"/>
    <row r="726" ht="12.75" hidden="1"/>
    <row r="727" ht="12.75" hidden="1"/>
    <row r="728" ht="12.75" hidden="1"/>
    <row r="729" ht="12.75" hidden="1"/>
    <row r="730" ht="12.75" hidden="1"/>
    <row r="731" ht="12.75" hidden="1"/>
    <row r="732" ht="12.75" hidden="1"/>
    <row r="733" ht="12.75" hidden="1"/>
    <row r="734" ht="12.75" hidden="1"/>
    <row r="735" ht="12.75" hidden="1"/>
    <row r="736" ht="12.75" hidden="1"/>
    <row r="737" ht="12.75" hidden="1"/>
    <row r="738" ht="12.75" hidden="1"/>
    <row r="739" ht="12.75" hidden="1"/>
    <row r="740" ht="12.75" hidden="1"/>
    <row r="741" ht="12.75" hidden="1"/>
    <row r="742" ht="12.75" hidden="1"/>
    <row r="743" ht="12.75" hidden="1"/>
    <row r="744" ht="12.75" hidden="1"/>
    <row r="745" ht="12.75" hidden="1"/>
    <row r="746" ht="12.75" hidden="1"/>
    <row r="747" ht="12.75" hidden="1"/>
    <row r="748" ht="12.75" hidden="1"/>
    <row r="749" ht="12.75" hidden="1"/>
    <row r="750" ht="12.75" hidden="1"/>
    <row r="751" ht="12.75" hidden="1"/>
    <row r="752" ht="12.75" hidden="1"/>
    <row r="753" ht="12.75" hidden="1"/>
    <row r="754" ht="12.75" hidden="1"/>
    <row r="755" ht="12.75" hidden="1"/>
    <row r="756" ht="12.75" hidden="1"/>
    <row r="757" ht="12.75" hidden="1"/>
    <row r="758" ht="12.75" hidden="1"/>
    <row r="759" ht="12.75" hidden="1"/>
    <row r="760" ht="12.75" hidden="1"/>
    <row r="761" ht="12.75" hidden="1"/>
    <row r="762" ht="12.75" hidden="1"/>
    <row r="763" ht="12.75" hidden="1"/>
    <row r="764" ht="12.75" hidden="1"/>
    <row r="765" ht="12.75" hidden="1"/>
    <row r="766" ht="12.75" hidden="1"/>
    <row r="767" ht="12.75" hidden="1"/>
    <row r="768" ht="12.75" hidden="1"/>
    <row r="769" ht="12.75" hidden="1"/>
    <row r="770" ht="12.75" hidden="1"/>
    <row r="771" ht="12.75" hidden="1"/>
    <row r="772" ht="12.75" hidden="1"/>
    <row r="773" ht="12.75" hidden="1"/>
    <row r="774" ht="12.75" hidden="1"/>
    <row r="775" ht="12.75" hidden="1"/>
    <row r="776" ht="12.75" hidden="1"/>
    <row r="777" ht="12.75" hidden="1"/>
    <row r="778" ht="12.75" hidden="1"/>
    <row r="779" ht="12.75" hidden="1"/>
    <row r="780" ht="12.75" hidden="1"/>
    <row r="781" ht="12.75" hidden="1"/>
    <row r="782" ht="12.75" hidden="1"/>
    <row r="783" ht="12.75" hidden="1"/>
    <row r="784" ht="12.75" hidden="1"/>
    <row r="785" ht="12.75" hidden="1"/>
    <row r="786" ht="12.75" hidden="1"/>
    <row r="787" ht="12.75" hidden="1"/>
    <row r="788" ht="12.75" hidden="1"/>
    <row r="789" ht="12.75" hidden="1"/>
    <row r="790" ht="12.75" hidden="1"/>
    <row r="791" ht="12.75" hidden="1"/>
    <row r="792" ht="12.75" hidden="1"/>
    <row r="793" ht="12.75" hidden="1"/>
    <row r="794" ht="12.75" hidden="1"/>
    <row r="795" ht="12.75" hidden="1"/>
    <row r="796" ht="12.75" hidden="1"/>
    <row r="797" ht="12.75" hidden="1"/>
    <row r="798" ht="12.75" hidden="1"/>
    <row r="799" ht="12.75" hidden="1"/>
    <row r="800" ht="12.75" hidden="1"/>
    <row r="801" ht="12.75" hidden="1"/>
    <row r="802" ht="12.75" hidden="1"/>
    <row r="803" ht="12.75" hidden="1"/>
    <row r="804" ht="12.75" hidden="1"/>
    <row r="805" ht="12.75" hidden="1"/>
    <row r="806" ht="12.75" hidden="1"/>
    <row r="807" ht="12.75" hidden="1"/>
    <row r="808" ht="12.75" hidden="1"/>
    <row r="809" ht="12.75" hidden="1"/>
    <row r="810" ht="12.75" hidden="1"/>
    <row r="811" ht="12.75" hidden="1"/>
    <row r="812" ht="12.75" hidden="1"/>
    <row r="813" ht="12.75" hidden="1"/>
    <row r="814" ht="12.75" hidden="1"/>
    <row r="815" ht="12.75" hidden="1"/>
    <row r="816" ht="12.75" hidden="1"/>
    <row r="817" ht="12.75" hidden="1"/>
    <row r="818" ht="12.75" hidden="1"/>
    <row r="819" ht="12.75" hidden="1"/>
    <row r="820" ht="12.75" hidden="1"/>
    <row r="821" ht="12.75" hidden="1"/>
    <row r="822" ht="12.75" hidden="1"/>
    <row r="823" ht="12.75" hidden="1"/>
    <row r="824" ht="12.75" hidden="1"/>
    <row r="825" ht="12.75" hidden="1"/>
    <row r="826" ht="12.75" hidden="1"/>
    <row r="827" ht="12.75" hidden="1"/>
    <row r="828" ht="12.75" hidden="1"/>
    <row r="829" ht="12.75" hidden="1"/>
    <row r="830" ht="12.75" hidden="1"/>
    <row r="831" ht="12.75" hidden="1"/>
    <row r="832" ht="12.75" hidden="1"/>
    <row r="833" ht="12.75" hidden="1"/>
    <row r="834" ht="12.75" hidden="1"/>
    <row r="835" ht="12.75" hidden="1"/>
    <row r="836" ht="12.75" hidden="1"/>
    <row r="837" ht="12.75" hidden="1"/>
    <row r="838" ht="12.75" hidden="1"/>
    <row r="839" ht="12.75" hidden="1"/>
    <row r="840" ht="12.75" hidden="1"/>
    <row r="841" ht="12.75" hidden="1"/>
    <row r="842" ht="12.75" hidden="1"/>
    <row r="843" ht="12.75" hidden="1"/>
    <row r="844" ht="12.75" hidden="1"/>
    <row r="845" ht="12.75" hidden="1"/>
    <row r="846" ht="12.75" hidden="1"/>
    <row r="847" ht="12.75" hidden="1"/>
    <row r="848" ht="12.75" hidden="1"/>
    <row r="849" ht="12.75" hidden="1"/>
    <row r="850" ht="12.75" hidden="1"/>
    <row r="851" ht="12.75" hidden="1"/>
    <row r="852" ht="12.75" hidden="1"/>
    <row r="853" ht="12.75" hidden="1"/>
    <row r="854" ht="12.75" hidden="1"/>
    <row r="855" ht="12.75" hidden="1"/>
    <row r="856" ht="12.75" hidden="1"/>
    <row r="857" ht="12.75" hidden="1"/>
    <row r="858" ht="12.75" hidden="1"/>
    <row r="859" ht="12.75" hidden="1"/>
    <row r="860" ht="12.75" hidden="1"/>
    <row r="861" ht="12.75" hidden="1"/>
    <row r="862" ht="12.75" hidden="1"/>
    <row r="863" ht="12.75" hidden="1"/>
    <row r="864" ht="12.75" hidden="1"/>
    <row r="865" ht="12.75" hidden="1"/>
    <row r="866" ht="12.75" hidden="1"/>
    <row r="867" ht="12.75" hidden="1"/>
    <row r="868" ht="12.75" hidden="1"/>
    <row r="869" ht="12.75" hidden="1"/>
    <row r="870" ht="12.75" hidden="1"/>
    <row r="871" ht="12.75" hidden="1"/>
    <row r="872" ht="12.75" hidden="1"/>
    <row r="873" ht="12.75" hidden="1"/>
    <row r="874" ht="12.75" hidden="1"/>
    <row r="875" ht="12.75" hidden="1"/>
    <row r="876" ht="12.75" hidden="1"/>
    <row r="877" ht="12.75" hidden="1"/>
    <row r="878" ht="12.75" hidden="1"/>
    <row r="879" ht="12.75" hidden="1"/>
    <row r="880" ht="12.75" hidden="1"/>
    <row r="881" ht="12.75" hidden="1"/>
    <row r="882" ht="12.75" hidden="1"/>
    <row r="883" ht="12.75" hidden="1"/>
    <row r="884" ht="12.75" hidden="1"/>
    <row r="885" ht="12.75" hidden="1"/>
    <row r="886" ht="12.75" hidden="1"/>
    <row r="887" ht="12.75" hidden="1"/>
    <row r="888" ht="12.75" hidden="1"/>
    <row r="889" ht="12.75" hidden="1"/>
    <row r="890" ht="12.75" hidden="1"/>
    <row r="891" ht="12.75" hidden="1"/>
    <row r="892" ht="12.75" hidden="1"/>
    <row r="893" ht="12.75" hidden="1"/>
    <row r="894" ht="12.75" hidden="1"/>
    <row r="895" ht="12.75" hidden="1"/>
    <row r="896" ht="12.75" hidden="1"/>
    <row r="897" ht="12.75" hidden="1"/>
    <row r="898" ht="12.75" hidden="1"/>
    <row r="899" ht="12.75" hidden="1"/>
    <row r="900" ht="12.75" hidden="1"/>
    <row r="901" ht="12.75" hidden="1"/>
    <row r="902" ht="12.75" hidden="1"/>
    <row r="903" ht="12.75" hidden="1"/>
    <row r="904" ht="12.75" hidden="1"/>
    <row r="905" ht="12.75" hidden="1"/>
    <row r="906" ht="12.75" hidden="1"/>
    <row r="907" ht="12.75" hidden="1"/>
    <row r="908" ht="12.75" hidden="1"/>
    <row r="909" ht="12.75" hidden="1"/>
    <row r="910" ht="12.75" hidden="1"/>
    <row r="911" ht="12.75" hidden="1"/>
    <row r="912" ht="12.75" hidden="1"/>
    <row r="913" ht="12.75" hidden="1"/>
    <row r="914" ht="12.75" hidden="1"/>
    <row r="915" ht="12.75" hidden="1"/>
    <row r="916" ht="12.75" hidden="1"/>
    <row r="917" ht="12.75" hidden="1"/>
    <row r="918" ht="12.75" hidden="1"/>
    <row r="919" ht="12.75" hidden="1"/>
    <row r="920" ht="12.75" hidden="1"/>
    <row r="921" ht="12.75" hidden="1"/>
    <row r="922" ht="12.75" hidden="1"/>
    <row r="923" ht="12.75" hidden="1"/>
    <row r="924" ht="12.75" hidden="1"/>
    <row r="925" ht="12.75" hidden="1"/>
    <row r="926" ht="12.75" hidden="1"/>
    <row r="927" ht="12.75" hidden="1"/>
    <row r="928" ht="12.75" hidden="1"/>
    <row r="929" ht="12.75" hidden="1"/>
    <row r="930" ht="12.75" hidden="1"/>
    <row r="931" ht="12.75" hidden="1"/>
    <row r="932" ht="12.75" hidden="1"/>
    <row r="933" ht="12.75" hidden="1"/>
    <row r="934" ht="12.75" hidden="1"/>
    <row r="935" ht="12.75" hidden="1"/>
    <row r="936" ht="12.75" hidden="1"/>
    <row r="937" ht="12.75" hidden="1"/>
    <row r="938" ht="12.75" hidden="1"/>
    <row r="939" ht="12.75" hidden="1"/>
    <row r="940" ht="12.75" hidden="1"/>
    <row r="941" ht="12.75" hidden="1"/>
    <row r="942" ht="12.75" hidden="1"/>
    <row r="943" ht="12.75" hidden="1"/>
    <row r="944" ht="12.75" hidden="1"/>
    <row r="945" ht="12.75" hidden="1"/>
    <row r="946" ht="12.75" hidden="1"/>
    <row r="947" ht="12.75" hidden="1"/>
    <row r="948" ht="12.75" hidden="1"/>
    <row r="949" ht="12.75" hidden="1"/>
    <row r="950" ht="12.75" hidden="1"/>
    <row r="951" ht="12.75" hidden="1"/>
    <row r="952" ht="12.75" hidden="1"/>
    <row r="953" ht="12.75" hidden="1"/>
    <row r="954" ht="12.75" hidden="1"/>
    <row r="955" ht="12.75" hidden="1"/>
    <row r="956" ht="12.75" hidden="1"/>
    <row r="957" ht="12.75" hidden="1"/>
    <row r="958" ht="12.75" hidden="1"/>
    <row r="959" ht="12.75" hidden="1"/>
    <row r="960" ht="12.75" hidden="1"/>
    <row r="961" ht="12.75" hidden="1"/>
    <row r="962" ht="12.75" hidden="1"/>
    <row r="963" ht="12.75" hidden="1"/>
    <row r="964" ht="12.75" hidden="1"/>
    <row r="965" ht="12.75" hidden="1"/>
    <row r="966" ht="12.75" hidden="1"/>
    <row r="967" ht="12.75" hidden="1"/>
    <row r="968" ht="12.75" hidden="1"/>
    <row r="969" ht="12.75" hidden="1"/>
    <row r="970" ht="12.75" hidden="1"/>
    <row r="971" ht="12.75" hidden="1"/>
    <row r="972" ht="12.75" hidden="1"/>
    <row r="973" ht="12.75" hidden="1"/>
    <row r="974" ht="12.75" hidden="1"/>
    <row r="975" ht="12.75" hidden="1"/>
    <row r="976" ht="12.75" hidden="1"/>
    <row r="977" ht="12.75" hidden="1"/>
    <row r="978" ht="12.75" hidden="1"/>
    <row r="979" ht="12.75" hidden="1"/>
    <row r="980" ht="12.75" hidden="1"/>
    <row r="981" ht="12.75" hidden="1"/>
    <row r="982" ht="12.75" hidden="1"/>
    <row r="983" ht="12.75" hidden="1"/>
    <row r="984" ht="12.75" hidden="1"/>
    <row r="985" ht="12.75" hidden="1"/>
    <row r="986" ht="12.75" hidden="1"/>
    <row r="987" ht="12.75" hidden="1"/>
    <row r="988" ht="12.75" hidden="1"/>
  </sheetData>
  <autoFilter ref="A1:O988" xr:uid="{00000000-0009-0000-0000-000005000000}">
    <filterColumn colId="0">
      <filters>
        <filter val="HWL"/>
      </filters>
    </filterColumn>
  </autoFilter>
  <mergeCells count="30">
    <mergeCell ref="M267:M268"/>
    <mergeCell ref="N267:N268"/>
    <mergeCell ref="O267:O268"/>
    <mergeCell ref="A267:A268"/>
    <mergeCell ref="B267:B268"/>
    <mergeCell ref="C267:C268"/>
    <mergeCell ref="D267:D268"/>
    <mergeCell ref="E267:E268"/>
    <mergeCell ref="F267:F268"/>
    <mergeCell ref="G267:G268"/>
    <mergeCell ref="H267:H268"/>
    <mergeCell ref="I267:I268"/>
    <mergeCell ref="J267:J268"/>
    <mergeCell ref="K267:K268"/>
    <mergeCell ref="L267:L268"/>
    <mergeCell ref="M265:M266"/>
    <mergeCell ref="N265:N266"/>
    <mergeCell ref="O265:O266"/>
    <mergeCell ref="A265:A266"/>
    <mergeCell ref="B265:B266"/>
    <mergeCell ref="C265:C266"/>
    <mergeCell ref="D265:D266"/>
    <mergeCell ref="E265:E266"/>
    <mergeCell ref="F265:F266"/>
    <mergeCell ref="G265:G266"/>
    <mergeCell ref="H265:H266"/>
    <mergeCell ref="I265:I266"/>
    <mergeCell ref="J265:J266"/>
    <mergeCell ref="K265:K266"/>
    <mergeCell ref="L265:L266"/>
  </mergeCells>
  <conditionalFormatting sqref="F1:L261 F265:L1988">
    <cfRule type="cellIs" dxfId="2" priority="1" operator="lessThan">
      <formula>6</formula>
    </cfRule>
  </conditionalFormatting>
  <pageMargins left="0.7" right="0.7" top="0.75" bottom="0.75" header="0.3" footer="0.3"/>
  <headerFooter>
    <oddFooter>&amp;L_x000D_&amp;1#&amp;"Aptos"&amp;10&amp;K000000 Public</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2:M5"/>
  <sheetViews>
    <sheetView workbookViewId="0"/>
  </sheetViews>
  <sheetFormatPr defaultColWidth="12.5703125" defaultRowHeight="15.75" customHeight="1"/>
  <cols>
    <col min="1" max="1" width="17.28515625" customWidth="1"/>
  </cols>
  <sheetData>
    <row r="2" spans="1:13" ht="15.75" customHeight="1">
      <c r="B2" s="41" t="s">
        <v>8</v>
      </c>
      <c r="C2" s="41" t="s">
        <v>9</v>
      </c>
      <c r="D2" s="42" t="s">
        <v>10</v>
      </c>
      <c r="E2" s="41" t="s">
        <v>11</v>
      </c>
      <c r="F2" s="43" t="s">
        <v>12</v>
      </c>
      <c r="G2" s="44" t="s">
        <v>13</v>
      </c>
      <c r="H2" s="41" t="s">
        <v>14</v>
      </c>
    </row>
    <row r="3" spans="1:13">
      <c r="A3" s="11" t="s">
        <v>1232</v>
      </c>
      <c r="B3" s="8">
        <v>59</v>
      </c>
      <c r="C3" s="8">
        <v>34</v>
      </c>
      <c r="D3" s="45">
        <v>87</v>
      </c>
      <c r="E3" s="8">
        <v>17</v>
      </c>
      <c r="F3" s="46">
        <v>85</v>
      </c>
      <c r="G3" s="47">
        <v>70</v>
      </c>
      <c r="H3" s="8">
        <v>64</v>
      </c>
    </row>
    <row r="4" spans="1:13">
      <c r="A4" s="11" t="s">
        <v>1234</v>
      </c>
      <c r="B4" s="48">
        <v>22.433460076045627</v>
      </c>
      <c r="C4" s="48">
        <v>13.765182186234817</v>
      </c>
      <c r="D4" s="49">
        <v>35.222672064777328</v>
      </c>
      <c r="E4" s="48">
        <v>6.7193675889328066</v>
      </c>
      <c r="F4" s="50">
        <v>35.714285714285715</v>
      </c>
      <c r="G4" s="51">
        <v>28.455284552845526</v>
      </c>
      <c r="H4" s="48">
        <v>26.446280991735538</v>
      </c>
    </row>
    <row r="5" spans="1:13">
      <c r="M5" s="11"/>
    </row>
  </sheetData>
  <conditionalFormatting sqref="B2:H2">
    <cfRule type="cellIs" dxfId="1" priority="1" operator="lessThan">
      <formula>6</formula>
    </cfRule>
  </conditionalFormatting>
  <pageMargins left="0.7" right="0.7" top="0.75" bottom="0.75" header="0.3" footer="0.3"/>
  <headerFooter>
    <oddFooter>&amp;L_x000D_&amp;1#&amp;"Aptos"&amp;10&amp;K000000 Public</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B5"/>
  <sheetViews>
    <sheetView workbookViewId="0"/>
  </sheetViews>
  <sheetFormatPr defaultColWidth="12.5703125" defaultRowHeight="15.75" customHeight="1"/>
  <cols>
    <col min="2" max="2" width="22.42578125" customWidth="1"/>
  </cols>
  <sheetData>
    <row r="1" spans="1:2">
      <c r="A1" s="52" t="s">
        <v>6</v>
      </c>
      <c r="B1" s="53" t="s">
        <v>1235</v>
      </c>
    </row>
    <row r="2" spans="1:2">
      <c r="A2" s="8" t="s">
        <v>25</v>
      </c>
      <c r="B2" s="48">
        <v>52.941176470588239</v>
      </c>
    </row>
    <row r="3" spans="1:2">
      <c r="A3" s="8" t="s">
        <v>93</v>
      </c>
      <c r="B3" s="48">
        <v>40</v>
      </c>
    </row>
    <row r="4" spans="1:2">
      <c r="A4" s="8" t="s">
        <v>54</v>
      </c>
      <c r="B4" s="48">
        <v>24.137931034482758</v>
      </c>
    </row>
    <row r="5" spans="1:2">
      <c r="A5" s="8" t="s">
        <v>105</v>
      </c>
      <c r="B5" s="48">
        <v>22.727272727272727</v>
      </c>
    </row>
  </sheetData>
  <autoFilter ref="A1:B5" xr:uid="{00000000-0009-0000-0000-000007000000}"/>
  <pageMargins left="0.7" right="0.7" top="0.75" bottom="0.75" header="0.3" footer="0.3"/>
  <headerFooter>
    <oddFooter>&amp;L_x000D_&amp;1#&amp;"Aptos"&amp;10&amp;K000000 Public</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Q135"/>
  <sheetViews>
    <sheetView workbookViewId="0"/>
  </sheetViews>
  <sheetFormatPr defaultColWidth="12.5703125" defaultRowHeight="15.75" customHeight="1"/>
  <cols>
    <col min="1" max="1" width="14" customWidth="1"/>
    <col min="2" max="2" width="21.5703125" customWidth="1"/>
    <col min="4" max="4" width="17.140625" customWidth="1"/>
    <col min="9" max="9" width="16.7109375" customWidth="1"/>
    <col min="12" max="12" width="16.5703125" customWidth="1"/>
    <col min="17" max="17" width="16.5703125" customWidth="1"/>
  </cols>
  <sheetData>
    <row r="1" spans="1:9" ht="30" customHeight="1">
      <c r="A1" s="54" t="s">
        <v>5</v>
      </c>
      <c r="B1" s="54" t="s">
        <v>7</v>
      </c>
      <c r="C1" s="54" t="s">
        <v>393</v>
      </c>
      <c r="D1" s="54" t="s">
        <v>394</v>
      </c>
      <c r="E1" s="54" t="s">
        <v>395</v>
      </c>
      <c r="F1" s="54" t="s">
        <v>396</v>
      </c>
      <c r="G1" s="54" t="s">
        <v>397</v>
      </c>
      <c r="H1" s="54" t="s">
        <v>398</v>
      </c>
      <c r="I1" s="54" t="s">
        <v>399</v>
      </c>
    </row>
    <row r="2" spans="1:9" ht="12.75">
      <c r="A2" s="55"/>
      <c r="B2" s="55" t="s">
        <v>1236</v>
      </c>
      <c r="C2" s="55">
        <f t="shared" ref="C2:I2" si="0">SUM(C3:C185)</f>
        <v>23</v>
      </c>
      <c r="D2" s="55">
        <f t="shared" si="0"/>
        <v>15</v>
      </c>
      <c r="E2" s="55">
        <f t="shared" si="0"/>
        <v>5</v>
      </c>
      <c r="F2" s="55">
        <f t="shared" si="0"/>
        <v>33</v>
      </c>
      <c r="G2" s="55">
        <f t="shared" si="0"/>
        <v>21</v>
      </c>
      <c r="H2" s="55">
        <f t="shared" si="0"/>
        <v>0</v>
      </c>
      <c r="I2" s="55">
        <f t="shared" si="0"/>
        <v>52</v>
      </c>
    </row>
    <row r="3" spans="1:9" ht="12.75">
      <c r="A3" s="8" t="s">
        <v>705</v>
      </c>
      <c r="B3" s="8" t="s">
        <v>1237</v>
      </c>
      <c r="C3" s="8">
        <v>1</v>
      </c>
      <c r="F3" s="8">
        <v>1</v>
      </c>
      <c r="G3" s="8"/>
      <c r="I3" s="8">
        <v>1</v>
      </c>
    </row>
    <row r="4" spans="1:9" ht="12.75">
      <c r="A4" s="8" t="s">
        <v>707</v>
      </c>
      <c r="B4" s="8" t="s">
        <v>1238</v>
      </c>
      <c r="F4" s="8"/>
    </row>
    <row r="5" spans="1:9" ht="12.75">
      <c r="A5" s="8" t="s">
        <v>710</v>
      </c>
      <c r="B5" s="8" t="s">
        <v>1239</v>
      </c>
      <c r="I5" s="8">
        <v>1</v>
      </c>
    </row>
    <row r="6" spans="1:9" ht="12.75">
      <c r="A6" s="8" t="s">
        <v>713</v>
      </c>
      <c r="B6" s="8" t="s">
        <v>1240</v>
      </c>
      <c r="I6" s="8">
        <v>1</v>
      </c>
    </row>
    <row r="7" spans="1:9" ht="12.75">
      <c r="A7" s="8" t="s">
        <v>713</v>
      </c>
      <c r="B7" s="8" t="s">
        <v>1241</v>
      </c>
      <c r="D7" s="8">
        <v>1</v>
      </c>
      <c r="F7" s="8">
        <v>1</v>
      </c>
      <c r="I7" s="8">
        <v>1</v>
      </c>
    </row>
    <row r="8" spans="1:9" ht="12.75">
      <c r="A8" s="8" t="s">
        <v>517</v>
      </c>
      <c r="B8" s="8">
        <v>4663026199</v>
      </c>
      <c r="G8" s="8">
        <v>1</v>
      </c>
      <c r="I8" s="8"/>
    </row>
    <row r="9" spans="1:9" ht="12.75">
      <c r="A9" s="8" t="s">
        <v>720</v>
      </c>
      <c r="B9" s="8">
        <v>4356943688</v>
      </c>
      <c r="C9" s="8"/>
      <c r="D9" s="8"/>
      <c r="G9" s="8"/>
      <c r="I9" s="8"/>
    </row>
    <row r="10" spans="1:9" ht="12.75">
      <c r="A10" s="8" t="s">
        <v>721</v>
      </c>
      <c r="B10" s="8">
        <v>4765972462</v>
      </c>
      <c r="F10" s="8">
        <v>1</v>
      </c>
      <c r="G10" s="8"/>
    </row>
    <row r="11" spans="1:9" ht="12.75">
      <c r="A11" s="8" t="s">
        <v>724</v>
      </c>
      <c r="B11" s="8">
        <v>4765910571</v>
      </c>
      <c r="G11" s="8">
        <v>1</v>
      </c>
      <c r="I11" s="8"/>
    </row>
    <row r="12" spans="1:9" ht="12.75">
      <c r="A12" s="8" t="s">
        <v>229</v>
      </c>
      <c r="B12" s="8">
        <v>4245422619</v>
      </c>
      <c r="F12" s="8">
        <v>1</v>
      </c>
      <c r="G12" s="8"/>
    </row>
    <row r="13" spans="1:9" ht="12.75">
      <c r="A13" s="8" t="s">
        <v>730</v>
      </c>
      <c r="B13" s="8">
        <v>4951921323</v>
      </c>
      <c r="D13" s="8">
        <v>1</v>
      </c>
      <c r="F13" s="8"/>
      <c r="G13" s="8"/>
    </row>
    <row r="14" spans="1:9" ht="12.75">
      <c r="A14" s="8" t="s">
        <v>733</v>
      </c>
      <c r="B14" s="8">
        <v>4689843365</v>
      </c>
      <c r="F14" s="8">
        <v>1</v>
      </c>
      <c r="I14" s="8"/>
    </row>
    <row r="15" spans="1:9" ht="12.75">
      <c r="A15" s="8" t="s">
        <v>736</v>
      </c>
      <c r="B15" s="8">
        <v>4446467923</v>
      </c>
      <c r="F15" s="8"/>
    </row>
    <row r="16" spans="1:9" ht="12.75">
      <c r="A16" s="8" t="s">
        <v>737</v>
      </c>
      <c r="B16" s="8">
        <v>4812555342</v>
      </c>
      <c r="D16" s="8">
        <v>1</v>
      </c>
      <c r="E16" s="8">
        <v>1</v>
      </c>
      <c r="G16" s="8">
        <v>1</v>
      </c>
      <c r="I16" s="8">
        <v>1</v>
      </c>
    </row>
    <row r="17" spans="1:17" ht="12.75">
      <c r="A17" s="8" t="s">
        <v>739</v>
      </c>
      <c r="B17" s="8">
        <v>4537427655</v>
      </c>
      <c r="I17" s="8"/>
    </row>
    <row r="18" spans="1:17" ht="12.75">
      <c r="A18" s="8" t="s">
        <v>741</v>
      </c>
      <c r="B18" s="8">
        <v>4699379411</v>
      </c>
      <c r="C18" s="8"/>
      <c r="F18" s="8">
        <v>1</v>
      </c>
      <c r="G18" s="8">
        <v>1</v>
      </c>
    </row>
    <row r="19" spans="1:17" ht="12.75">
      <c r="A19" s="8" t="s">
        <v>745</v>
      </c>
      <c r="B19" s="8">
        <v>4433344588</v>
      </c>
      <c r="I19" s="8"/>
    </row>
    <row r="20" spans="1:17" ht="12.75">
      <c r="A20" s="8" t="s">
        <v>175</v>
      </c>
      <c r="B20" s="8">
        <v>4708952260</v>
      </c>
      <c r="I20" s="8"/>
    </row>
    <row r="21" spans="1:17" ht="12.75">
      <c r="A21" s="8" t="s">
        <v>756</v>
      </c>
      <c r="B21" s="8">
        <v>4234979975</v>
      </c>
      <c r="D21" s="8"/>
      <c r="F21" s="8">
        <v>1</v>
      </c>
      <c r="G21" s="8">
        <v>1</v>
      </c>
    </row>
    <row r="22" spans="1:17" ht="12.75">
      <c r="A22" s="8" t="s">
        <v>759</v>
      </c>
      <c r="B22" s="8">
        <v>4429484974</v>
      </c>
      <c r="G22" s="8"/>
    </row>
    <row r="23" spans="1:17" ht="12.75">
      <c r="A23" s="8" t="s">
        <v>760</v>
      </c>
      <c r="B23" s="8">
        <v>4537568836</v>
      </c>
      <c r="C23" s="8"/>
      <c r="F23" s="8"/>
    </row>
    <row r="24" spans="1:17" ht="12.75">
      <c r="A24" s="8" t="s">
        <v>761</v>
      </c>
      <c r="B24" s="8">
        <v>4365740411</v>
      </c>
      <c r="C24" s="8"/>
      <c r="F24" s="8">
        <v>1</v>
      </c>
    </row>
    <row r="25" spans="1:17" ht="12.75">
      <c r="A25" s="8" t="s">
        <v>786</v>
      </c>
      <c r="B25" s="8">
        <v>4115740994</v>
      </c>
      <c r="F25" s="8">
        <v>1</v>
      </c>
      <c r="I25" s="8"/>
    </row>
    <row r="26" spans="1:17" ht="12.75">
      <c r="A26" s="8" t="s">
        <v>810</v>
      </c>
      <c r="B26" s="8">
        <v>4420241772</v>
      </c>
      <c r="F26" s="8">
        <v>1</v>
      </c>
      <c r="K26" s="87" t="s">
        <v>1242</v>
      </c>
      <c r="L26" s="88"/>
      <c r="M26" s="88"/>
      <c r="N26" s="88"/>
      <c r="O26" s="88"/>
      <c r="P26" s="88"/>
      <c r="Q26" s="89"/>
    </row>
    <row r="27" spans="1:17" ht="12.75">
      <c r="A27" s="8" t="s">
        <v>817</v>
      </c>
      <c r="B27" s="8">
        <v>4857007626</v>
      </c>
      <c r="C27" s="8"/>
      <c r="D27" s="8">
        <v>1</v>
      </c>
      <c r="F27" s="8"/>
      <c r="G27" s="8">
        <v>1</v>
      </c>
      <c r="I27" s="8"/>
      <c r="K27" s="90"/>
      <c r="L27" s="76"/>
      <c r="M27" s="76"/>
      <c r="N27" s="76"/>
      <c r="O27" s="76"/>
      <c r="P27" s="76"/>
      <c r="Q27" s="91"/>
    </row>
    <row r="28" spans="1:17">
      <c r="A28" s="8" t="s">
        <v>821</v>
      </c>
      <c r="B28" s="8">
        <v>4931353349</v>
      </c>
      <c r="G28" s="8">
        <v>1</v>
      </c>
      <c r="K28" s="56" t="s">
        <v>393</v>
      </c>
      <c r="L28" s="57" t="s">
        <v>394</v>
      </c>
      <c r="M28" s="57" t="s">
        <v>395</v>
      </c>
      <c r="N28" s="57" t="s">
        <v>396</v>
      </c>
      <c r="O28" s="57" t="s">
        <v>397</v>
      </c>
      <c r="P28" s="57" t="s">
        <v>398</v>
      </c>
      <c r="Q28" s="58" t="s">
        <v>399</v>
      </c>
    </row>
    <row r="29" spans="1:17" ht="12.75">
      <c r="A29" s="8" t="s">
        <v>825</v>
      </c>
      <c r="B29" s="8">
        <v>4140736934</v>
      </c>
      <c r="C29" s="8">
        <v>1</v>
      </c>
      <c r="K29" s="59">
        <v>16</v>
      </c>
      <c r="L29" s="60">
        <v>12</v>
      </c>
      <c r="M29" s="60">
        <v>2</v>
      </c>
      <c r="N29" s="60">
        <v>27</v>
      </c>
      <c r="O29" s="60">
        <v>8</v>
      </c>
      <c r="P29" s="60">
        <v>0</v>
      </c>
      <c r="Q29" s="61">
        <v>36</v>
      </c>
    </row>
    <row r="30" spans="1:17" ht="12.75">
      <c r="A30" s="8" t="s">
        <v>832</v>
      </c>
      <c r="B30" s="8">
        <v>4007908123</v>
      </c>
      <c r="I30" s="8">
        <v>1</v>
      </c>
      <c r="K30" s="62">
        <v>23</v>
      </c>
      <c r="L30" s="63">
        <v>15</v>
      </c>
      <c r="M30" s="63">
        <v>5</v>
      </c>
      <c r="N30" s="63">
        <v>33</v>
      </c>
      <c r="O30" s="63">
        <v>21</v>
      </c>
      <c r="P30" s="63">
        <v>0</v>
      </c>
      <c r="Q30" s="64">
        <v>52</v>
      </c>
    </row>
    <row r="31" spans="1:17" ht="12.75">
      <c r="A31" s="8" t="s">
        <v>833</v>
      </c>
      <c r="B31" s="8">
        <v>4880069859</v>
      </c>
    </row>
    <row r="32" spans="1:17" ht="12.75">
      <c r="A32" s="8" t="s">
        <v>841</v>
      </c>
      <c r="B32" s="8">
        <v>4415996266</v>
      </c>
      <c r="G32" s="8"/>
      <c r="I32" s="8">
        <v>1</v>
      </c>
    </row>
    <row r="33" spans="1:9" ht="12.75">
      <c r="A33" s="8" t="s">
        <v>844</v>
      </c>
      <c r="B33" s="8">
        <v>4412681261</v>
      </c>
      <c r="C33" s="8"/>
      <c r="F33" s="8">
        <v>1</v>
      </c>
      <c r="I33" s="8"/>
    </row>
    <row r="34" spans="1:9" ht="12.75">
      <c r="A34" s="8" t="s">
        <v>480</v>
      </c>
      <c r="B34" s="8">
        <v>4419856614</v>
      </c>
      <c r="F34" s="8">
        <v>1</v>
      </c>
    </row>
    <row r="35" spans="1:9" ht="12.75">
      <c r="A35" s="8" t="s">
        <v>877</v>
      </c>
      <c r="B35" s="8">
        <v>4250458623</v>
      </c>
      <c r="C35" s="8">
        <v>1</v>
      </c>
      <c r="F35" s="8">
        <v>1</v>
      </c>
      <c r="I35" s="8">
        <v>1</v>
      </c>
    </row>
    <row r="36" spans="1:9" ht="12.75">
      <c r="A36" s="8" t="s">
        <v>879</v>
      </c>
      <c r="B36" s="8">
        <v>4446424882</v>
      </c>
      <c r="F36" s="8">
        <v>1</v>
      </c>
    </row>
    <row r="37" spans="1:9" ht="12.75">
      <c r="A37" s="8" t="s">
        <v>880</v>
      </c>
      <c r="B37" s="8">
        <v>4508282012</v>
      </c>
      <c r="C37" s="8">
        <v>1</v>
      </c>
      <c r="F37" s="8">
        <v>1</v>
      </c>
      <c r="I37" s="8">
        <v>1</v>
      </c>
    </row>
    <row r="38" spans="1:9" ht="12.75">
      <c r="A38" s="8" t="s">
        <v>887</v>
      </c>
      <c r="B38" s="8">
        <v>4360932858</v>
      </c>
      <c r="C38" s="8">
        <v>1</v>
      </c>
      <c r="G38" s="8"/>
      <c r="I38" s="8">
        <v>1</v>
      </c>
    </row>
    <row r="39" spans="1:9" ht="12.75">
      <c r="A39" s="8" t="s">
        <v>460</v>
      </c>
      <c r="B39" s="8">
        <v>4666656748</v>
      </c>
      <c r="D39" s="8">
        <v>1</v>
      </c>
      <c r="I39" s="8">
        <v>1</v>
      </c>
    </row>
    <row r="40" spans="1:9" ht="12.75">
      <c r="A40" s="8" t="s">
        <v>897</v>
      </c>
      <c r="B40" s="8">
        <v>4007733317</v>
      </c>
      <c r="I40" s="8">
        <v>1</v>
      </c>
    </row>
    <row r="41" spans="1:9" ht="12.75">
      <c r="A41" s="8" t="s">
        <v>900</v>
      </c>
      <c r="B41" s="8">
        <v>4060614042</v>
      </c>
      <c r="I41" s="8">
        <v>1</v>
      </c>
    </row>
    <row r="42" spans="1:9" ht="12.75">
      <c r="A42" s="8" t="s">
        <v>903</v>
      </c>
      <c r="B42" s="8">
        <v>4133896016</v>
      </c>
      <c r="I42" s="8">
        <v>1</v>
      </c>
    </row>
    <row r="43" spans="1:9" ht="12.75">
      <c r="A43" s="8" t="s">
        <v>262</v>
      </c>
      <c r="B43" s="8">
        <v>4572966457</v>
      </c>
      <c r="D43" s="8"/>
      <c r="E43" s="8"/>
      <c r="I43" s="8">
        <v>1</v>
      </c>
    </row>
    <row r="44" spans="1:9" ht="12.75">
      <c r="A44" s="8" t="s">
        <v>908</v>
      </c>
      <c r="B44" s="8">
        <v>4151128992</v>
      </c>
      <c r="D44" s="8"/>
      <c r="G44" s="8">
        <v>1</v>
      </c>
      <c r="I44" s="8"/>
    </row>
    <row r="45" spans="1:9" ht="12.75">
      <c r="A45" s="8" t="s">
        <v>911</v>
      </c>
      <c r="B45" s="8">
        <v>4682529699</v>
      </c>
    </row>
    <row r="46" spans="1:9" ht="12.75">
      <c r="A46" s="8" t="s">
        <v>912</v>
      </c>
      <c r="B46" s="8">
        <v>4558890189</v>
      </c>
    </row>
    <row r="47" spans="1:9" ht="12.75">
      <c r="A47" s="8" t="s">
        <v>913</v>
      </c>
      <c r="B47" s="8">
        <v>4991459866</v>
      </c>
    </row>
    <row r="48" spans="1:9" ht="12.75">
      <c r="A48" s="8" t="s">
        <v>330</v>
      </c>
      <c r="B48" s="8">
        <v>4142033727</v>
      </c>
      <c r="I48" s="8">
        <v>1</v>
      </c>
    </row>
    <row r="49" spans="1:9" ht="12.75">
      <c r="A49" s="8" t="s">
        <v>916</v>
      </c>
      <c r="B49" s="8">
        <v>4193703529</v>
      </c>
      <c r="I49" s="8">
        <v>1</v>
      </c>
    </row>
    <row r="50" spans="1:9" ht="12.75">
      <c r="A50" s="8" t="s">
        <v>918</v>
      </c>
      <c r="B50" s="8">
        <v>4313835086</v>
      </c>
      <c r="F50" s="8">
        <v>1</v>
      </c>
      <c r="I50" s="8">
        <v>1</v>
      </c>
    </row>
    <row r="51" spans="1:9" ht="12.75">
      <c r="A51" s="8" t="s">
        <v>921</v>
      </c>
      <c r="B51" s="8">
        <v>4486363893</v>
      </c>
      <c r="I51" s="8">
        <v>1</v>
      </c>
    </row>
    <row r="52" spans="1:9" ht="12.75">
      <c r="A52" s="8" t="s">
        <v>924</v>
      </c>
      <c r="B52" s="8">
        <v>4917022970</v>
      </c>
      <c r="G52" s="8"/>
    </row>
    <row r="53" spans="1:9" ht="12.75">
      <c r="A53" s="8" t="s">
        <v>925</v>
      </c>
      <c r="B53" s="8">
        <v>4075984551</v>
      </c>
      <c r="I53" s="8">
        <v>1</v>
      </c>
    </row>
    <row r="54" spans="1:9" ht="12.75">
      <c r="A54" s="8" t="s">
        <v>928</v>
      </c>
      <c r="B54" s="8">
        <v>4404555791</v>
      </c>
    </row>
    <row r="55" spans="1:9" ht="12.75">
      <c r="A55" s="8" t="s">
        <v>929</v>
      </c>
      <c r="B55" s="8">
        <v>4618538748</v>
      </c>
    </row>
    <row r="56" spans="1:9" ht="12.75">
      <c r="A56" s="8" t="s">
        <v>913</v>
      </c>
      <c r="B56" s="8">
        <v>4353738722</v>
      </c>
    </row>
    <row r="57" spans="1:9" ht="12.75">
      <c r="A57" s="8" t="s">
        <v>934</v>
      </c>
      <c r="B57" s="8">
        <v>4746772327</v>
      </c>
    </row>
    <row r="58" spans="1:9" ht="12.75">
      <c r="A58" s="8" t="s">
        <v>935</v>
      </c>
      <c r="B58" s="8">
        <v>4953022469</v>
      </c>
      <c r="G58" s="8">
        <v>1</v>
      </c>
    </row>
    <row r="59" spans="1:9" ht="12.75">
      <c r="A59" s="8" t="s">
        <v>938</v>
      </c>
      <c r="B59" s="8">
        <v>4884621976</v>
      </c>
      <c r="C59" s="8">
        <v>1</v>
      </c>
      <c r="F59" s="8"/>
      <c r="I59" s="8">
        <v>1</v>
      </c>
    </row>
    <row r="60" spans="1:9" ht="12.75">
      <c r="A60" s="8" t="s">
        <v>941</v>
      </c>
      <c r="B60" s="8">
        <v>4438713120</v>
      </c>
    </row>
    <row r="61" spans="1:9" ht="12.75">
      <c r="A61" s="8" t="s">
        <v>404</v>
      </c>
      <c r="B61" s="8">
        <v>4416446769</v>
      </c>
      <c r="I61" s="8">
        <v>1</v>
      </c>
    </row>
    <row r="62" spans="1:9" ht="12.75">
      <c r="A62" s="8" t="s">
        <v>943</v>
      </c>
      <c r="B62" s="8">
        <v>4872121239</v>
      </c>
      <c r="C62" s="8"/>
      <c r="F62" s="8"/>
    </row>
    <row r="63" spans="1:9" ht="12.75">
      <c r="A63" s="8" t="s">
        <v>944</v>
      </c>
      <c r="B63" s="8">
        <v>4563564549</v>
      </c>
    </row>
    <row r="64" spans="1:9" ht="12.75">
      <c r="A64" s="8" t="s">
        <v>945</v>
      </c>
      <c r="B64" s="8">
        <v>4827441362</v>
      </c>
      <c r="G64" s="8">
        <v>1</v>
      </c>
    </row>
    <row r="65" spans="1:9" ht="12.75">
      <c r="A65" s="8" t="s">
        <v>516</v>
      </c>
      <c r="B65" s="8">
        <v>4314457479</v>
      </c>
      <c r="G65" s="8"/>
    </row>
    <row r="66" spans="1:9" ht="12.75">
      <c r="A66" s="8" t="s">
        <v>949</v>
      </c>
      <c r="B66" s="8">
        <v>4762338180</v>
      </c>
    </row>
    <row r="67" spans="1:9" ht="12.75">
      <c r="A67" s="8" t="s">
        <v>952</v>
      </c>
      <c r="B67" s="8">
        <v>4980472872</v>
      </c>
    </row>
    <row r="68" spans="1:9" ht="12.75">
      <c r="A68" s="8" t="s">
        <v>949</v>
      </c>
      <c r="B68" s="8">
        <v>4412321202</v>
      </c>
      <c r="D68" s="8">
        <v>1</v>
      </c>
    </row>
    <row r="69" spans="1:9" ht="12.75">
      <c r="A69" s="8" t="s">
        <v>450</v>
      </c>
      <c r="B69" s="8">
        <v>4545685447</v>
      </c>
      <c r="G69" s="8">
        <v>1</v>
      </c>
    </row>
    <row r="70" spans="1:9" ht="12.75">
      <c r="A70" s="8" t="s">
        <v>958</v>
      </c>
      <c r="B70" s="8">
        <v>4895911112</v>
      </c>
    </row>
    <row r="71" spans="1:9" ht="12.75">
      <c r="A71" s="8" t="s">
        <v>960</v>
      </c>
      <c r="B71" s="8">
        <v>4059561597</v>
      </c>
    </row>
    <row r="72" spans="1:9" ht="12.75">
      <c r="A72" s="8" t="s">
        <v>963</v>
      </c>
      <c r="B72" s="8">
        <v>4998265165</v>
      </c>
    </row>
    <row r="73" spans="1:9" ht="12.75">
      <c r="A73" s="8" t="s">
        <v>516</v>
      </c>
      <c r="B73" s="8">
        <v>4314457479</v>
      </c>
    </row>
    <row r="74" spans="1:9" ht="12.75">
      <c r="A74" s="8" t="s">
        <v>949</v>
      </c>
      <c r="B74" s="8">
        <v>4762338180</v>
      </c>
    </row>
    <row r="75" spans="1:9" ht="12.75">
      <c r="A75" s="8" t="s">
        <v>952</v>
      </c>
      <c r="B75" s="8">
        <v>4980472872</v>
      </c>
      <c r="G75" s="8"/>
    </row>
    <row r="76" spans="1:9" ht="12.75">
      <c r="A76" s="8" t="s">
        <v>964</v>
      </c>
      <c r="B76" s="8">
        <v>4264179943</v>
      </c>
      <c r="F76" s="8">
        <v>1</v>
      </c>
      <c r="I76" s="8">
        <v>1</v>
      </c>
    </row>
    <row r="77" spans="1:9" ht="12.75">
      <c r="A77" s="8" t="s">
        <v>166</v>
      </c>
      <c r="B77" s="8">
        <v>4165790042</v>
      </c>
    </row>
    <row r="78" spans="1:9" ht="12.75">
      <c r="A78" s="8" t="s">
        <v>290</v>
      </c>
      <c r="B78" s="8">
        <v>4850912365</v>
      </c>
      <c r="G78" s="8"/>
    </row>
    <row r="79" spans="1:9" ht="12.75">
      <c r="A79" s="8" t="s">
        <v>968</v>
      </c>
      <c r="B79" s="8">
        <v>4145063717</v>
      </c>
      <c r="C79" s="8">
        <v>1</v>
      </c>
      <c r="D79" s="8"/>
      <c r="F79" s="8">
        <v>1</v>
      </c>
      <c r="G79" s="8"/>
    </row>
    <row r="80" spans="1:9" ht="12.75">
      <c r="A80" s="8" t="s">
        <v>971</v>
      </c>
      <c r="B80" s="8">
        <v>4081578467</v>
      </c>
      <c r="I80" s="8">
        <v>1</v>
      </c>
    </row>
    <row r="81" spans="1:9" ht="12.75">
      <c r="A81" s="8" t="s">
        <v>974</v>
      </c>
      <c r="B81" s="8">
        <v>4150624110</v>
      </c>
    </row>
    <row r="82" spans="1:9" ht="12.75">
      <c r="A82" s="8" t="s">
        <v>977</v>
      </c>
      <c r="B82" s="8">
        <v>4325824039</v>
      </c>
      <c r="G82" s="8">
        <v>1</v>
      </c>
    </row>
    <row r="83" spans="1:9" ht="12.75">
      <c r="A83" s="8" t="s">
        <v>979</v>
      </c>
      <c r="B83" s="8">
        <v>4011402342</v>
      </c>
    </row>
    <row r="84" spans="1:9" ht="12.75">
      <c r="A84" s="8" t="s">
        <v>980</v>
      </c>
      <c r="B84" s="8">
        <v>4944386640</v>
      </c>
      <c r="C84" s="8"/>
      <c r="F84" s="8"/>
      <c r="G84" s="8"/>
      <c r="I84" s="8"/>
    </row>
    <row r="85" spans="1:9" ht="12.75">
      <c r="A85" s="8" t="s">
        <v>982</v>
      </c>
      <c r="B85" s="8">
        <v>4857713456</v>
      </c>
    </row>
    <row r="86" spans="1:9" ht="12.75">
      <c r="A86" s="8" t="s">
        <v>983</v>
      </c>
      <c r="B86" s="8">
        <v>4552165350</v>
      </c>
      <c r="C86" s="8">
        <v>1</v>
      </c>
      <c r="D86" s="8">
        <v>1</v>
      </c>
      <c r="F86" s="8">
        <v>1</v>
      </c>
      <c r="I86" s="8">
        <v>1</v>
      </c>
    </row>
    <row r="87" spans="1:9" ht="12.75">
      <c r="A87" s="8" t="s">
        <v>984</v>
      </c>
      <c r="B87" s="8">
        <v>4307919902</v>
      </c>
      <c r="I87" s="8">
        <v>1</v>
      </c>
    </row>
    <row r="88" spans="1:9" ht="12.75">
      <c r="A88" s="8" t="s">
        <v>792</v>
      </c>
      <c r="B88" s="8">
        <v>4576552176</v>
      </c>
      <c r="I88" s="8">
        <v>1</v>
      </c>
    </row>
    <row r="89" spans="1:9" ht="12.75">
      <c r="A89" s="8" t="s">
        <v>989</v>
      </c>
      <c r="B89" s="8">
        <v>4744256230</v>
      </c>
    </row>
    <row r="90" spans="1:9" ht="12.75">
      <c r="A90" s="8" t="s">
        <v>990</v>
      </c>
      <c r="B90" s="8">
        <v>4737633163</v>
      </c>
    </row>
    <row r="91" spans="1:9" ht="12.75">
      <c r="A91" s="8" t="s">
        <v>994</v>
      </c>
      <c r="B91" s="8">
        <v>4549892604</v>
      </c>
    </row>
    <row r="92" spans="1:9" ht="12.75">
      <c r="A92" s="8" t="s">
        <v>997</v>
      </c>
      <c r="B92" s="8">
        <v>4474834177</v>
      </c>
      <c r="I92" s="8">
        <v>1</v>
      </c>
    </row>
    <row r="93" spans="1:9" ht="12.75">
      <c r="A93" s="8" t="s">
        <v>1000</v>
      </c>
      <c r="B93" s="8">
        <v>4489776303</v>
      </c>
      <c r="C93" s="8">
        <v>1</v>
      </c>
      <c r="F93" s="8">
        <v>1</v>
      </c>
      <c r="I93" s="8">
        <v>1</v>
      </c>
    </row>
    <row r="94" spans="1:9" ht="12.75">
      <c r="A94" s="8" t="s">
        <v>1002</v>
      </c>
      <c r="D94" s="8">
        <v>1</v>
      </c>
      <c r="G94" s="8">
        <v>1</v>
      </c>
      <c r="I94" s="8">
        <v>1</v>
      </c>
    </row>
    <row r="95" spans="1:9" ht="12.75">
      <c r="A95" s="8" t="s">
        <v>1004</v>
      </c>
      <c r="B95" s="8">
        <v>4649003268</v>
      </c>
      <c r="D95" s="8">
        <v>1</v>
      </c>
      <c r="E95" s="8">
        <v>1</v>
      </c>
    </row>
    <row r="96" spans="1:9" ht="12.75">
      <c r="A96" s="8" t="s">
        <v>1016</v>
      </c>
      <c r="B96" s="8">
        <v>4548257882</v>
      </c>
      <c r="C96" s="8">
        <v>1</v>
      </c>
      <c r="F96" s="8">
        <v>1</v>
      </c>
      <c r="G96" s="8">
        <v>1</v>
      </c>
    </row>
    <row r="97" spans="1:9" ht="12.75">
      <c r="A97" s="8" t="s">
        <v>1022</v>
      </c>
      <c r="B97" s="8">
        <v>4231030283</v>
      </c>
      <c r="C97" s="8"/>
      <c r="F97" s="8">
        <v>1</v>
      </c>
      <c r="I97" s="8">
        <v>1</v>
      </c>
    </row>
    <row r="98" spans="1:9" ht="12.75">
      <c r="A98" s="8" t="s">
        <v>1043</v>
      </c>
      <c r="B98" s="8">
        <v>4857253078</v>
      </c>
      <c r="C98" s="8">
        <v>1</v>
      </c>
      <c r="F98" s="8">
        <v>1</v>
      </c>
    </row>
    <row r="99" spans="1:9" ht="12.75">
      <c r="A99" s="8" t="s">
        <v>1047</v>
      </c>
      <c r="B99" s="8">
        <v>4655940299</v>
      </c>
      <c r="C99" s="8">
        <v>1</v>
      </c>
      <c r="D99" s="8">
        <v>1</v>
      </c>
      <c r="E99" s="8">
        <v>1</v>
      </c>
      <c r="F99" s="8">
        <v>1</v>
      </c>
      <c r="G99" s="8">
        <v>1</v>
      </c>
      <c r="I99" s="8">
        <v>1</v>
      </c>
    </row>
    <row r="100" spans="1:9" ht="12.75">
      <c r="A100" s="8" t="s">
        <v>1049</v>
      </c>
      <c r="B100" s="8">
        <v>4641522423</v>
      </c>
      <c r="C100" s="8">
        <v>1</v>
      </c>
      <c r="F100" s="8">
        <v>1</v>
      </c>
      <c r="I100" s="8">
        <v>1</v>
      </c>
    </row>
    <row r="101" spans="1:9" ht="12.75">
      <c r="A101" s="8" t="s">
        <v>1051</v>
      </c>
      <c r="B101" s="8">
        <v>4980417971</v>
      </c>
      <c r="I101" s="8">
        <v>1</v>
      </c>
    </row>
    <row r="102" spans="1:9" ht="12.75">
      <c r="A102" s="8" t="s">
        <v>1067</v>
      </c>
      <c r="B102" s="8">
        <v>4821057242</v>
      </c>
      <c r="F102" s="8">
        <v>1</v>
      </c>
      <c r="G102" s="8">
        <v>1</v>
      </c>
      <c r="I102" s="8">
        <v>1</v>
      </c>
    </row>
    <row r="103" spans="1:9" ht="12.75">
      <c r="A103" s="8" t="s">
        <v>964</v>
      </c>
      <c r="B103" s="8">
        <v>4946705990</v>
      </c>
      <c r="I103" s="8">
        <v>1</v>
      </c>
    </row>
    <row r="104" spans="1:9" ht="12.75">
      <c r="A104" s="8" t="s">
        <v>1077</v>
      </c>
      <c r="B104" s="8">
        <v>4886883688</v>
      </c>
      <c r="C104" s="8">
        <v>1</v>
      </c>
      <c r="F104" s="8">
        <v>1</v>
      </c>
      <c r="G104" s="8">
        <v>1</v>
      </c>
    </row>
    <row r="105" spans="1:9" ht="12.75">
      <c r="A105" s="8" t="s">
        <v>1080</v>
      </c>
      <c r="B105" s="8">
        <v>4940919179</v>
      </c>
      <c r="I105" s="8">
        <v>1</v>
      </c>
    </row>
    <row r="106" spans="1:9" ht="12.75">
      <c r="A106" s="8" t="s">
        <v>1086</v>
      </c>
      <c r="B106" s="8">
        <v>4951973334</v>
      </c>
      <c r="I106" s="8">
        <v>1</v>
      </c>
    </row>
    <row r="107" spans="1:9" ht="12.75">
      <c r="A107" s="8" t="s">
        <v>1088</v>
      </c>
      <c r="B107" s="8">
        <v>4911995985</v>
      </c>
      <c r="I107" s="8">
        <v>1</v>
      </c>
    </row>
    <row r="108" spans="1:9" ht="12.75">
      <c r="A108" s="8" t="s">
        <v>1095</v>
      </c>
      <c r="B108" s="8">
        <v>4350160942</v>
      </c>
      <c r="C108" s="8">
        <v>1</v>
      </c>
      <c r="F108" s="8">
        <v>1</v>
      </c>
    </row>
    <row r="109" spans="1:9" ht="12.75">
      <c r="A109" s="8" t="s">
        <v>1099</v>
      </c>
      <c r="B109" s="8">
        <v>4516350919</v>
      </c>
      <c r="C109" s="8">
        <v>1</v>
      </c>
      <c r="F109" s="8">
        <v>1</v>
      </c>
    </row>
    <row r="110" spans="1:9" ht="12.75">
      <c r="A110" s="8" t="s">
        <v>1102</v>
      </c>
      <c r="B110" s="8">
        <v>4501083060</v>
      </c>
      <c r="I110" s="8">
        <v>1</v>
      </c>
    </row>
    <row r="111" spans="1:9" ht="12.75">
      <c r="A111" s="8" t="s">
        <v>1107</v>
      </c>
      <c r="B111" s="8">
        <v>4581911385</v>
      </c>
      <c r="C111" s="8">
        <v>1</v>
      </c>
      <c r="I111" s="8">
        <v>1</v>
      </c>
    </row>
    <row r="112" spans="1:9" ht="12.75">
      <c r="A112" s="8" t="s">
        <v>1109</v>
      </c>
      <c r="B112" s="8">
        <v>4597794810</v>
      </c>
      <c r="I112" s="8">
        <v>1</v>
      </c>
    </row>
    <row r="113" spans="1:9" ht="12.75">
      <c r="A113" s="8" t="s">
        <v>1111</v>
      </c>
      <c r="B113" s="8">
        <v>4456065471</v>
      </c>
      <c r="C113" s="8">
        <v>1</v>
      </c>
      <c r="F113" s="8">
        <v>1</v>
      </c>
      <c r="G113" s="8">
        <v>1</v>
      </c>
    </row>
    <row r="114" spans="1:9" ht="12.75">
      <c r="A114" s="8" t="s">
        <v>1114</v>
      </c>
      <c r="B114" s="8">
        <v>4884247150</v>
      </c>
      <c r="D114" s="8">
        <v>1</v>
      </c>
      <c r="F114" s="8"/>
      <c r="G114" s="8"/>
    </row>
    <row r="115" spans="1:9" ht="12.75">
      <c r="A115" s="8" t="s">
        <v>1118</v>
      </c>
      <c r="B115" s="8">
        <v>4828305127</v>
      </c>
      <c r="I115" s="8">
        <v>1</v>
      </c>
    </row>
    <row r="116" spans="1:9" ht="12.75">
      <c r="A116" s="8" t="s">
        <v>1122</v>
      </c>
      <c r="B116" s="8">
        <v>4596245192</v>
      </c>
      <c r="I116" s="8">
        <v>1</v>
      </c>
    </row>
    <row r="117" spans="1:9" ht="12.75">
      <c r="A117" s="8" t="s">
        <v>1125</v>
      </c>
      <c r="B117" s="8">
        <v>4165478851</v>
      </c>
      <c r="C117" s="8">
        <v>1</v>
      </c>
      <c r="G117" s="8">
        <v>1</v>
      </c>
      <c r="I117" s="8">
        <v>1</v>
      </c>
    </row>
    <row r="118" spans="1:9" ht="12.75">
      <c r="A118" s="8" t="s">
        <v>1129</v>
      </c>
      <c r="B118" s="8">
        <v>4451588886</v>
      </c>
      <c r="I118" s="8">
        <v>1</v>
      </c>
    </row>
    <row r="119" spans="1:9" ht="12.75">
      <c r="A119" s="8" t="s">
        <v>1130</v>
      </c>
      <c r="B119" s="8">
        <v>4784572029</v>
      </c>
      <c r="D119" s="8">
        <v>1</v>
      </c>
    </row>
    <row r="120" spans="1:9" ht="12.75">
      <c r="A120" s="8" t="s">
        <v>1131</v>
      </c>
      <c r="B120" s="8">
        <v>4284016741</v>
      </c>
      <c r="C120" s="8">
        <v>1</v>
      </c>
      <c r="D120" s="8">
        <v>1</v>
      </c>
      <c r="E120" s="8">
        <v>1</v>
      </c>
      <c r="F120" s="8">
        <v>1</v>
      </c>
      <c r="G120" s="8">
        <v>1</v>
      </c>
    </row>
    <row r="121" spans="1:9" ht="12.75">
      <c r="A121" s="8" t="s">
        <v>1139</v>
      </c>
      <c r="B121" s="8">
        <v>4988697489</v>
      </c>
      <c r="F121" s="8">
        <v>1</v>
      </c>
      <c r="I121" s="8">
        <v>1</v>
      </c>
    </row>
    <row r="122" spans="1:9" ht="12.75">
      <c r="A122" s="8" t="s">
        <v>1157</v>
      </c>
      <c r="B122" s="8">
        <v>227480838</v>
      </c>
      <c r="C122" s="8">
        <v>1</v>
      </c>
      <c r="G122" s="8">
        <v>1</v>
      </c>
    </row>
    <row r="123" spans="1:9" ht="12.75">
      <c r="A123" s="8" t="s">
        <v>1161</v>
      </c>
      <c r="B123" s="8">
        <v>228992230</v>
      </c>
      <c r="C123" s="8"/>
      <c r="D123" s="8">
        <v>1</v>
      </c>
      <c r="E123" s="8">
        <v>1</v>
      </c>
      <c r="F123" s="8"/>
      <c r="G123" s="8"/>
      <c r="I123" s="8"/>
    </row>
    <row r="124" spans="1:9" ht="12.75">
      <c r="A124" s="8" t="s">
        <v>1164</v>
      </c>
      <c r="B124" s="8">
        <v>157389270</v>
      </c>
      <c r="D124" s="8">
        <v>1</v>
      </c>
    </row>
    <row r="125" spans="1:9" ht="12.75">
      <c r="A125" s="8" t="s">
        <v>1168</v>
      </c>
      <c r="B125" s="8"/>
      <c r="I125" s="8">
        <v>1</v>
      </c>
    </row>
    <row r="126" spans="1:9" ht="12.75">
      <c r="A126" s="8" t="s">
        <v>1170</v>
      </c>
      <c r="B126" s="8"/>
      <c r="I126" s="8">
        <v>1</v>
      </c>
    </row>
    <row r="127" spans="1:9" ht="12.75">
      <c r="A127" s="8" t="s">
        <v>1209</v>
      </c>
      <c r="B127" s="8"/>
      <c r="C127" s="8"/>
      <c r="I127" s="8">
        <v>1</v>
      </c>
    </row>
    <row r="128" spans="1:9" ht="12.75">
      <c r="A128" s="8" t="s">
        <v>1212</v>
      </c>
      <c r="B128" s="8">
        <v>561716124</v>
      </c>
      <c r="C128" s="8">
        <v>1</v>
      </c>
      <c r="F128" s="8">
        <v>1</v>
      </c>
    </row>
    <row r="129" spans="1:9" ht="12.75">
      <c r="A129" s="8" t="s">
        <v>1206</v>
      </c>
      <c r="B129" s="8"/>
      <c r="I129" s="8">
        <v>1</v>
      </c>
    </row>
    <row r="130" spans="1:9" ht="12.75">
      <c r="A130" s="8" t="s">
        <v>1225</v>
      </c>
      <c r="B130" s="8">
        <v>4592052335</v>
      </c>
      <c r="C130" s="8">
        <v>1</v>
      </c>
      <c r="I130" s="8">
        <v>1</v>
      </c>
    </row>
    <row r="131" spans="1:9" ht="12.75">
      <c r="A131" s="55"/>
      <c r="B131" s="55"/>
      <c r="C131" s="55"/>
      <c r="D131" s="55"/>
      <c r="E131" s="55"/>
      <c r="F131" s="55"/>
      <c r="G131" s="55"/>
      <c r="H131" s="55"/>
      <c r="I131" s="55"/>
    </row>
    <row r="132" spans="1:9" ht="12.75">
      <c r="A132" s="55"/>
      <c r="B132" s="55"/>
      <c r="C132" s="55"/>
      <c r="D132" s="55"/>
      <c r="E132" s="55"/>
      <c r="F132" s="55"/>
      <c r="G132" s="55"/>
      <c r="H132" s="55"/>
      <c r="I132" s="55"/>
    </row>
    <row r="133" spans="1:9" ht="12.75">
      <c r="A133" s="55"/>
      <c r="B133" s="55"/>
      <c r="C133" s="55"/>
      <c r="D133" s="55"/>
      <c r="E133" s="55"/>
      <c r="F133" s="55"/>
      <c r="G133" s="55"/>
      <c r="H133" s="55"/>
      <c r="I133" s="55"/>
    </row>
    <row r="134" spans="1:9" ht="12.75">
      <c r="A134" s="55"/>
      <c r="B134" s="55"/>
      <c r="C134" s="55"/>
      <c r="D134" s="55"/>
      <c r="E134" s="55"/>
      <c r="F134" s="55"/>
      <c r="G134" s="55"/>
      <c r="H134" s="55"/>
      <c r="I134" s="55"/>
    </row>
    <row r="135" spans="1:9" ht="12.75">
      <c r="A135" s="55"/>
      <c r="B135" s="55"/>
      <c r="C135" s="55"/>
      <c r="D135" s="55"/>
      <c r="E135" s="55"/>
      <c r="F135" s="55"/>
      <c r="G135" s="55"/>
      <c r="H135" s="55"/>
      <c r="I135" s="55"/>
    </row>
  </sheetData>
  <mergeCells count="1">
    <mergeCell ref="K26:Q27"/>
  </mergeCells>
  <pageMargins left="0.7" right="0.7" top="0.75" bottom="0.75" header="0.3" footer="0.3"/>
  <headerFooter>
    <oddFooter>&amp;L_x000D_&amp;1#&amp;"Aptos"&amp;10&amp;K000000 Public</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214"/>
  <sheetViews>
    <sheetView tabSelected="1" workbookViewId="0">
      <pane ySplit="1" topLeftCell="A2" activePane="bottomLeft" state="frozen"/>
      <selection pane="bottomLeft" activeCell="B3" sqref="B3"/>
    </sheetView>
  </sheetViews>
  <sheetFormatPr defaultColWidth="12.5703125" defaultRowHeight="15.75" customHeight="1"/>
  <sheetData>
    <row r="1" spans="1:26" ht="15.75" customHeight="1">
      <c r="A1" s="65" t="s">
        <v>3</v>
      </c>
      <c r="B1" s="66" t="s">
        <v>4</v>
      </c>
      <c r="C1" s="65" t="s">
        <v>5</v>
      </c>
      <c r="D1" s="65" t="s">
        <v>6</v>
      </c>
      <c r="E1" s="65" t="s">
        <v>7</v>
      </c>
      <c r="F1" s="67" t="s">
        <v>8</v>
      </c>
      <c r="G1" s="67" t="s">
        <v>9</v>
      </c>
      <c r="H1" s="67" t="s">
        <v>10</v>
      </c>
      <c r="I1" s="67" t="s">
        <v>11</v>
      </c>
      <c r="J1" s="67" t="s">
        <v>12</v>
      </c>
      <c r="K1" s="67" t="s">
        <v>13</v>
      </c>
      <c r="L1" s="67" t="s">
        <v>14</v>
      </c>
      <c r="M1" s="65" t="s">
        <v>15</v>
      </c>
      <c r="N1" s="65" t="s">
        <v>16</v>
      </c>
      <c r="O1" s="65" t="s">
        <v>17</v>
      </c>
    </row>
    <row r="2" spans="1:26">
      <c r="A2" s="68" t="s">
        <v>369</v>
      </c>
      <c r="B2" s="69">
        <v>45444</v>
      </c>
      <c r="C2" s="68" t="s">
        <v>1243</v>
      </c>
      <c r="D2" s="68"/>
      <c r="E2" s="68"/>
      <c r="F2" s="68">
        <v>5</v>
      </c>
      <c r="G2" s="68"/>
      <c r="H2" s="68">
        <v>5</v>
      </c>
      <c r="I2" s="68">
        <v>5</v>
      </c>
      <c r="J2" s="68"/>
      <c r="K2" s="68"/>
      <c r="L2" s="68">
        <v>5</v>
      </c>
      <c r="M2" s="68" t="s">
        <v>1244</v>
      </c>
      <c r="N2" s="68"/>
      <c r="O2" s="68"/>
    </row>
    <row r="3" spans="1:26">
      <c r="A3" s="68" t="s">
        <v>369</v>
      </c>
      <c r="B3" s="69">
        <v>45445</v>
      </c>
      <c r="C3" s="68" t="s">
        <v>911</v>
      </c>
      <c r="D3" s="68"/>
      <c r="E3" s="68"/>
      <c r="F3" s="68">
        <v>8</v>
      </c>
      <c r="G3" s="68"/>
      <c r="H3" s="68">
        <v>4</v>
      </c>
      <c r="I3" s="68">
        <v>5</v>
      </c>
      <c r="J3" s="68"/>
      <c r="K3" s="68"/>
      <c r="L3" s="68">
        <v>10</v>
      </c>
      <c r="M3" s="68" t="s">
        <v>1245</v>
      </c>
      <c r="N3" s="68"/>
      <c r="O3" s="68" t="s">
        <v>1246</v>
      </c>
    </row>
    <row r="4" spans="1:26">
      <c r="A4" s="68" t="s">
        <v>369</v>
      </c>
      <c r="B4" s="69">
        <v>45446</v>
      </c>
      <c r="C4" s="68" t="s">
        <v>1247</v>
      </c>
      <c r="D4" s="68"/>
      <c r="E4" s="68"/>
      <c r="F4" s="68">
        <v>3</v>
      </c>
      <c r="G4" s="68"/>
      <c r="H4" s="68">
        <v>3</v>
      </c>
      <c r="I4" s="68">
        <v>5</v>
      </c>
      <c r="J4" s="68"/>
      <c r="K4" s="68"/>
      <c r="L4" s="68">
        <v>5</v>
      </c>
      <c r="M4" s="68" t="s">
        <v>1248</v>
      </c>
      <c r="N4" s="68" t="s">
        <v>1249</v>
      </c>
      <c r="O4" s="68" t="s">
        <v>1250</v>
      </c>
      <c r="P4" s="68"/>
      <c r="Q4" s="68"/>
      <c r="R4" s="68"/>
      <c r="S4" s="68"/>
      <c r="T4" s="68"/>
      <c r="U4" s="68"/>
      <c r="V4" s="68"/>
      <c r="W4" s="68"/>
      <c r="X4" s="68"/>
      <c r="Y4" s="68"/>
      <c r="Z4" s="68"/>
    </row>
    <row r="5" spans="1:26">
      <c r="A5" s="68" t="s">
        <v>369</v>
      </c>
      <c r="B5" s="69">
        <v>45447</v>
      </c>
      <c r="C5" s="68" t="s">
        <v>194</v>
      </c>
      <c r="D5" s="68" t="s">
        <v>33</v>
      </c>
      <c r="E5" s="68"/>
      <c r="F5" s="68">
        <v>4</v>
      </c>
      <c r="G5" s="68"/>
      <c r="H5" s="68">
        <v>4</v>
      </c>
      <c r="I5" s="68">
        <v>5</v>
      </c>
      <c r="J5" s="68"/>
      <c r="K5" s="68"/>
      <c r="L5" s="68">
        <v>5</v>
      </c>
      <c r="M5" s="68" t="s">
        <v>1251</v>
      </c>
      <c r="N5" s="68"/>
      <c r="O5" s="68" t="s">
        <v>1252</v>
      </c>
      <c r="P5" s="68"/>
      <c r="Q5" s="68"/>
      <c r="R5" s="68"/>
      <c r="S5" s="68"/>
      <c r="T5" s="68"/>
      <c r="U5" s="68"/>
      <c r="V5" s="68"/>
      <c r="W5" s="68"/>
      <c r="X5" s="68"/>
      <c r="Y5" s="68"/>
      <c r="Z5" s="68"/>
    </row>
    <row r="6" spans="1:26">
      <c r="A6" s="68" t="s">
        <v>369</v>
      </c>
      <c r="B6" s="69">
        <v>45455</v>
      </c>
      <c r="C6" s="68" t="s">
        <v>1253</v>
      </c>
      <c r="D6" s="68"/>
      <c r="E6" s="68"/>
      <c r="F6" s="68">
        <v>5</v>
      </c>
      <c r="G6" s="68"/>
      <c r="H6" s="68">
        <v>4</v>
      </c>
      <c r="I6" s="68">
        <v>5</v>
      </c>
      <c r="J6" s="68"/>
      <c r="K6" s="68"/>
      <c r="L6" s="68">
        <v>5</v>
      </c>
      <c r="M6" s="68" t="s">
        <v>1254</v>
      </c>
      <c r="N6" s="68" t="s">
        <v>1255</v>
      </c>
      <c r="O6" s="68" t="s">
        <v>1256</v>
      </c>
    </row>
    <row r="7" spans="1:26">
      <c r="A7" s="68" t="s">
        <v>369</v>
      </c>
      <c r="B7" s="69">
        <v>45456</v>
      </c>
      <c r="C7" s="68" t="s">
        <v>1257</v>
      </c>
      <c r="D7" s="68"/>
      <c r="E7" s="68"/>
      <c r="F7" s="68">
        <v>3</v>
      </c>
      <c r="G7" s="68"/>
      <c r="H7" s="68">
        <v>1</v>
      </c>
      <c r="I7" s="68">
        <v>5</v>
      </c>
      <c r="J7" s="68"/>
      <c r="K7" s="68"/>
      <c r="L7" s="68">
        <v>2</v>
      </c>
      <c r="M7" s="68" t="s">
        <v>1258</v>
      </c>
      <c r="N7" s="68" t="s">
        <v>1259</v>
      </c>
      <c r="O7" s="68" t="s">
        <v>1260</v>
      </c>
      <c r="P7" s="68"/>
      <c r="Q7" s="68"/>
      <c r="R7" s="68"/>
      <c r="S7" s="68"/>
      <c r="T7" s="68"/>
      <c r="U7" s="68"/>
      <c r="V7" s="68"/>
      <c r="W7" s="68"/>
      <c r="X7" s="68"/>
      <c r="Y7" s="68"/>
      <c r="Z7" s="68"/>
    </row>
    <row r="8" spans="1:26">
      <c r="A8" s="68" t="s">
        <v>369</v>
      </c>
      <c r="B8" s="69">
        <v>45461</v>
      </c>
      <c r="C8" s="68" t="s">
        <v>1261</v>
      </c>
      <c r="D8" s="68" t="s">
        <v>25</v>
      </c>
      <c r="E8" s="68"/>
      <c r="F8" s="68">
        <v>4</v>
      </c>
      <c r="G8" s="68"/>
      <c r="H8" s="68">
        <v>4</v>
      </c>
      <c r="I8" s="68">
        <v>5</v>
      </c>
      <c r="J8" s="68"/>
      <c r="K8" s="68"/>
      <c r="L8" s="68">
        <v>4</v>
      </c>
      <c r="M8" s="68" t="s">
        <v>1262</v>
      </c>
      <c r="N8" s="68"/>
      <c r="O8" s="68" t="s">
        <v>1263</v>
      </c>
    </row>
    <row r="9" spans="1:26">
      <c r="A9" s="68" t="s">
        <v>369</v>
      </c>
      <c r="B9" s="69">
        <v>45468</v>
      </c>
      <c r="C9" s="68" t="s">
        <v>1264</v>
      </c>
      <c r="D9" s="68" t="s">
        <v>20</v>
      </c>
      <c r="E9" s="68"/>
      <c r="F9" s="68">
        <v>5</v>
      </c>
      <c r="G9" s="68"/>
      <c r="H9" s="68">
        <v>5</v>
      </c>
      <c r="I9" s="68">
        <v>5</v>
      </c>
      <c r="J9" s="68"/>
      <c r="K9" s="68"/>
      <c r="L9" s="68">
        <v>5</v>
      </c>
      <c r="M9" s="68" t="s">
        <v>1265</v>
      </c>
      <c r="N9" s="68"/>
      <c r="O9" s="68"/>
    </row>
    <row r="10" spans="1:26">
      <c r="A10" s="68" t="s">
        <v>369</v>
      </c>
      <c r="B10" s="69">
        <v>45469</v>
      </c>
      <c r="C10" s="68" t="s">
        <v>277</v>
      </c>
      <c r="D10" s="68"/>
      <c r="E10" s="68"/>
      <c r="F10" s="68">
        <v>3</v>
      </c>
      <c r="G10" s="68"/>
      <c r="H10" s="68">
        <v>5</v>
      </c>
      <c r="I10" s="68">
        <v>5</v>
      </c>
      <c r="J10" s="68"/>
      <c r="K10" s="68"/>
      <c r="L10" s="68"/>
      <c r="M10" s="68" t="s">
        <v>1266</v>
      </c>
      <c r="N10" s="68" t="s">
        <v>1267</v>
      </c>
      <c r="O10" s="68"/>
    </row>
    <row r="11" spans="1:26">
      <c r="A11" s="68" t="s">
        <v>18</v>
      </c>
      <c r="B11" s="69">
        <v>45444</v>
      </c>
      <c r="C11" s="68" t="s">
        <v>1268</v>
      </c>
      <c r="D11" s="68" t="s">
        <v>36</v>
      </c>
      <c r="E11" s="68">
        <v>4618678934</v>
      </c>
      <c r="F11" s="68">
        <v>3</v>
      </c>
      <c r="G11" s="68">
        <v>5</v>
      </c>
      <c r="H11" s="68">
        <v>7.5</v>
      </c>
      <c r="I11" s="68">
        <v>10</v>
      </c>
      <c r="J11" s="68">
        <v>2.5</v>
      </c>
      <c r="K11" s="68">
        <v>2.5</v>
      </c>
      <c r="L11" s="68">
        <v>5</v>
      </c>
      <c r="M11" s="68" t="s">
        <v>1269</v>
      </c>
      <c r="N11" s="68" t="s">
        <v>1270</v>
      </c>
      <c r="O11" s="68"/>
    </row>
    <row r="12" spans="1:26">
      <c r="A12" s="68" t="s">
        <v>18</v>
      </c>
      <c r="B12" s="69">
        <v>45444</v>
      </c>
      <c r="C12" s="68" t="s">
        <v>1271</v>
      </c>
      <c r="D12" s="68" t="s">
        <v>36</v>
      </c>
      <c r="E12" s="68">
        <v>4834370844</v>
      </c>
      <c r="F12" s="68">
        <v>9</v>
      </c>
      <c r="G12" s="68">
        <v>10</v>
      </c>
      <c r="H12" s="68">
        <v>10</v>
      </c>
      <c r="I12" s="68">
        <v>10</v>
      </c>
      <c r="J12" s="68">
        <v>10</v>
      </c>
      <c r="K12" s="68">
        <v>10</v>
      </c>
      <c r="L12" s="68">
        <v>7.5</v>
      </c>
      <c r="M12" s="68"/>
      <c r="N12" s="68"/>
      <c r="O12" s="68"/>
    </row>
    <row r="13" spans="1:26">
      <c r="A13" s="68" t="s">
        <v>18</v>
      </c>
      <c r="B13" s="69">
        <v>45444</v>
      </c>
      <c r="C13" s="68" t="s">
        <v>1272</v>
      </c>
      <c r="D13" s="68" t="s">
        <v>54</v>
      </c>
      <c r="E13" s="68">
        <v>4306828507</v>
      </c>
      <c r="F13" s="68">
        <v>3</v>
      </c>
      <c r="G13" s="68">
        <v>5</v>
      </c>
      <c r="H13" s="68">
        <v>2.5</v>
      </c>
      <c r="I13" s="68">
        <v>7.5</v>
      </c>
      <c r="J13" s="68">
        <v>2.5</v>
      </c>
      <c r="K13" s="68">
        <v>2.5</v>
      </c>
      <c r="L13" s="68">
        <v>5</v>
      </c>
      <c r="M13" s="68"/>
      <c r="N13" s="68"/>
      <c r="O13" s="68"/>
    </row>
    <row r="14" spans="1:26">
      <c r="A14" s="68" t="s">
        <v>18</v>
      </c>
      <c r="B14" s="69">
        <v>45444</v>
      </c>
      <c r="C14" s="68" t="s">
        <v>1273</v>
      </c>
      <c r="D14" s="68" t="s">
        <v>60</v>
      </c>
      <c r="E14" s="68">
        <v>4726011137</v>
      </c>
      <c r="F14" s="68">
        <v>8</v>
      </c>
      <c r="G14" s="68">
        <v>10</v>
      </c>
      <c r="H14" s="68">
        <v>7.5</v>
      </c>
      <c r="I14" s="68">
        <v>10</v>
      </c>
      <c r="J14" s="68">
        <v>10</v>
      </c>
      <c r="K14" s="68">
        <v>10</v>
      </c>
      <c r="L14" s="68">
        <v>10</v>
      </c>
      <c r="M14" s="68" t="s">
        <v>1274</v>
      </c>
      <c r="N14" s="68"/>
      <c r="O14" s="68"/>
    </row>
    <row r="15" spans="1:26">
      <c r="A15" s="68" t="s">
        <v>18</v>
      </c>
      <c r="B15" s="69">
        <v>45444</v>
      </c>
      <c r="C15" s="68" t="s">
        <v>1275</v>
      </c>
      <c r="D15" s="68" t="s">
        <v>54</v>
      </c>
      <c r="E15" s="68">
        <v>4429059072</v>
      </c>
      <c r="F15" s="68">
        <v>6</v>
      </c>
      <c r="G15" s="68">
        <v>7.5</v>
      </c>
      <c r="H15" s="68">
        <v>5</v>
      </c>
      <c r="I15" s="68">
        <v>10</v>
      </c>
      <c r="J15" s="68">
        <v>5</v>
      </c>
      <c r="K15" s="68">
        <v>7.5</v>
      </c>
      <c r="L15" s="68">
        <v>7.5</v>
      </c>
      <c r="M15" s="68"/>
      <c r="N15" s="68"/>
      <c r="O15" s="68"/>
    </row>
    <row r="16" spans="1:26">
      <c r="A16" s="68" t="s">
        <v>18</v>
      </c>
      <c r="B16" s="69">
        <v>45445</v>
      </c>
      <c r="C16" s="68" t="s">
        <v>1276</v>
      </c>
      <c r="D16" s="68" t="s">
        <v>847</v>
      </c>
      <c r="E16" s="68">
        <v>4994540771</v>
      </c>
      <c r="F16" s="68">
        <v>8</v>
      </c>
      <c r="G16" s="68">
        <v>7.5</v>
      </c>
      <c r="H16" s="68">
        <v>7.5</v>
      </c>
      <c r="I16" s="68">
        <v>10</v>
      </c>
      <c r="J16" s="68">
        <v>7.5</v>
      </c>
      <c r="K16" s="68">
        <v>7.5</v>
      </c>
      <c r="L16" s="68">
        <v>10</v>
      </c>
      <c r="M16" s="68"/>
      <c r="N16" s="68"/>
      <c r="O16" s="68"/>
    </row>
    <row r="17" spans="1:15">
      <c r="A17" s="68" t="s">
        <v>18</v>
      </c>
      <c r="B17" s="69">
        <v>45445</v>
      </c>
      <c r="C17" s="68" t="s">
        <v>290</v>
      </c>
      <c r="D17" s="68" t="s">
        <v>36</v>
      </c>
      <c r="E17" s="68">
        <v>4344994986</v>
      </c>
      <c r="F17" s="68">
        <v>1</v>
      </c>
      <c r="G17" s="68">
        <v>5</v>
      </c>
      <c r="H17" s="68">
        <v>2.5</v>
      </c>
      <c r="I17" s="68">
        <v>7.5</v>
      </c>
      <c r="J17" s="68">
        <v>2.5</v>
      </c>
      <c r="K17" s="68">
        <v>2.5</v>
      </c>
      <c r="L17" s="68">
        <v>2.5</v>
      </c>
      <c r="M17" s="68"/>
      <c r="N17" s="68" t="s">
        <v>1277</v>
      </c>
      <c r="O17" s="68"/>
    </row>
    <row r="18" spans="1:15">
      <c r="A18" s="68" t="s">
        <v>18</v>
      </c>
      <c r="B18" s="69">
        <v>45445</v>
      </c>
      <c r="C18" s="68" t="s">
        <v>1278</v>
      </c>
      <c r="D18" s="68" t="s">
        <v>54</v>
      </c>
      <c r="E18" s="68">
        <v>4190272337</v>
      </c>
      <c r="F18" s="68">
        <v>3</v>
      </c>
      <c r="G18" s="68">
        <v>2.5</v>
      </c>
      <c r="H18" s="68">
        <v>2.5</v>
      </c>
      <c r="I18" s="68">
        <v>10</v>
      </c>
      <c r="J18" s="68">
        <v>2.5</v>
      </c>
      <c r="K18" s="68">
        <v>5</v>
      </c>
      <c r="L18" s="68">
        <v>7.5</v>
      </c>
      <c r="M18" s="68" t="s">
        <v>1279</v>
      </c>
      <c r="N18" s="68" t="s">
        <v>1280</v>
      </c>
      <c r="O18" s="68" t="s">
        <v>1281</v>
      </c>
    </row>
    <row r="19" spans="1:15">
      <c r="A19" s="68" t="s">
        <v>18</v>
      </c>
      <c r="B19" s="69">
        <v>45445</v>
      </c>
      <c r="C19" s="68" t="s">
        <v>1282</v>
      </c>
      <c r="D19" s="68" t="s">
        <v>20</v>
      </c>
      <c r="E19" s="68">
        <v>4215597045</v>
      </c>
      <c r="F19" s="68">
        <v>6</v>
      </c>
      <c r="G19" s="68">
        <v>7.5</v>
      </c>
      <c r="H19" s="68">
        <v>5</v>
      </c>
      <c r="I19" s="68">
        <v>7.5</v>
      </c>
      <c r="J19" s="68">
        <v>5</v>
      </c>
      <c r="K19" s="68">
        <v>7.5</v>
      </c>
      <c r="L19" s="68">
        <v>5</v>
      </c>
      <c r="M19" s="68"/>
      <c r="N19" s="68"/>
      <c r="O19" s="68"/>
    </row>
    <row r="20" spans="1:15">
      <c r="A20" s="68" t="s">
        <v>18</v>
      </c>
      <c r="B20" s="69">
        <v>45445</v>
      </c>
      <c r="C20" s="68" t="s">
        <v>1283</v>
      </c>
      <c r="D20" s="68" t="s">
        <v>148</v>
      </c>
      <c r="E20" s="68">
        <v>4746096860</v>
      </c>
      <c r="F20" s="68">
        <v>9</v>
      </c>
      <c r="G20" s="68">
        <v>10</v>
      </c>
      <c r="H20" s="68">
        <v>10</v>
      </c>
      <c r="I20" s="68">
        <v>10</v>
      </c>
      <c r="J20" s="68">
        <v>7.5</v>
      </c>
      <c r="K20" s="68">
        <v>7.5</v>
      </c>
      <c r="L20" s="68">
        <v>10</v>
      </c>
      <c r="M20" s="68" t="s">
        <v>1284</v>
      </c>
      <c r="N20" s="68" t="s">
        <v>1285</v>
      </c>
      <c r="O20" s="68"/>
    </row>
    <row r="21" spans="1:15">
      <c r="A21" s="68" t="s">
        <v>18</v>
      </c>
      <c r="B21" s="69">
        <v>45445</v>
      </c>
      <c r="C21" s="68" t="s">
        <v>1286</v>
      </c>
      <c r="D21" s="68" t="s">
        <v>123</v>
      </c>
      <c r="E21" s="68">
        <v>4433809530</v>
      </c>
      <c r="F21" s="68">
        <v>7</v>
      </c>
      <c r="G21" s="68">
        <v>10</v>
      </c>
      <c r="H21" s="68">
        <v>7.5</v>
      </c>
      <c r="I21" s="68">
        <v>10</v>
      </c>
      <c r="J21" s="68">
        <v>7.5</v>
      </c>
      <c r="K21" s="68">
        <v>7.5</v>
      </c>
      <c r="L21" s="68">
        <v>5</v>
      </c>
      <c r="M21" s="68"/>
      <c r="N21" s="68" t="s">
        <v>1287</v>
      </c>
      <c r="O21" s="68" t="s">
        <v>1288</v>
      </c>
    </row>
    <row r="22" spans="1:15">
      <c r="A22" s="68" t="s">
        <v>18</v>
      </c>
      <c r="B22" s="69">
        <v>45446</v>
      </c>
      <c r="C22" s="68" t="s">
        <v>1289</v>
      </c>
      <c r="D22" s="68" t="s">
        <v>123</v>
      </c>
      <c r="E22" s="68">
        <v>4896588584</v>
      </c>
      <c r="F22" s="68">
        <v>9</v>
      </c>
      <c r="G22" s="68">
        <v>10</v>
      </c>
      <c r="H22" s="68">
        <v>7.5</v>
      </c>
      <c r="I22" s="68">
        <v>10</v>
      </c>
      <c r="J22" s="68">
        <v>10</v>
      </c>
      <c r="K22" s="68">
        <v>10</v>
      </c>
      <c r="L22" s="68">
        <v>7.5</v>
      </c>
      <c r="M22" s="68" t="s">
        <v>1290</v>
      </c>
      <c r="N22" s="68"/>
      <c r="O22" s="68" t="s">
        <v>1291</v>
      </c>
    </row>
    <row r="23" spans="1:15">
      <c r="A23" s="68" t="s">
        <v>18</v>
      </c>
      <c r="B23" s="69">
        <v>45446</v>
      </c>
      <c r="C23" s="68" t="s">
        <v>1292</v>
      </c>
      <c r="D23" s="68" t="s">
        <v>647</v>
      </c>
      <c r="E23" s="68">
        <v>4532753256</v>
      </c>
      <c r="F23" s="68">
        <v>6</v>
      </c>
      <c r="G23" s="68">
        <v>5</v>
      </c>
      <c r="H23" s="68">
        <v>5</v>
      </c>
      <c r="I23" s="68">
        <v>10</v>
      </c>
      <c r="J23" s="68">
        <v>5</v>
      </c>
      <c r="K23" s="68">
        <v>7.5</v>
      </c>
      <c r="L23" s="68">
        <v>7.5</v>
      </c>
      <c r="M23" s="68" t="s">
        <v>1293</v>
      </c>
      <c r="N23" s="68" t="s">
        <v>1294</v>
      </c>
      <c r="O23" s="68" t="s">
        <v>1046</v>
      </c>
    </row>
    <row r="24" spans="1:15">
      <c r="A24" s="68" t="s">
        <v>18</v>
      </c>
      <c r="B24" s="69">
        <v>45446</v>
      </c>
      <c r="C24" s="68" t="s">
        <v>59</v>
      </c>
      <c r="D24" s="68" t="s">
        <v>60</v>
      </c>
      <c r="E24" s="68">
        <v>4368792205</v>
      </c>
      <c r="F24" s="68">
        <v>9</v>
      </c>
      <c r="G24" s="68">
        <v>10</v>
      </c>
      <c r="H24" s="68">
        <v>7.5</v>
      </c>
      <c r="I24" s="68">
        <v>10</v>
      </c>
      <c r="J24" s="68">
        <v>10</v>
      </c>
      <c r="K24" s="68">
        <v>10</v>
      </c>
      <c r="L24" s="68">
        <v>10</v>
      </c>
      <c r="M24" s="68"/>
      <c r="N24" s="68"/>
      <c r="O24" s="68"/>
    </row>
    <row r="25" spans="1:15">
      <c r="A25" s="68" t="s">
        <v>18</v>
      </c>
      <c r="B25" s="69">
        <v>45446</v>
      </c>
      <c r="C25" s="68" t="s">
        <v>1295</v>
      </c>
      <c r="D25" s="68" t="s">
        <v>431</v>
      </c>
      <c r="E25" s="68">
        <v>4818214231</v>
      </c>
      <c r="F25" s="68">
        <v>9</v>
      </c>
      <c r="G25" s="68">
        <v>10</v>
      </c>
      <c r="H25" s="68">
        <v>10</v>
      </c>
      <c r="I25" s="68">
        <v>10</v>
      </c>
      <c r="J25" s="68">
        <v>10</v>
      </c>
      <c r="K25" s="68">
        <v>10</v>
      </c>
      <c r="L25" s="68">
        <v>10</v>
      </c>
      <c r="M25" s="68"/>
      <c r="N25" s="68"/>
      <c r="O25" s="68"/>
    </row>
    <row r="26" spans="1:15">
      <c r="A26" s="68" t="s">
        <v>18</v>
      </c>
      <c r="B26" s="69">
        <v>45447</v>
      </c>
      <c r="C26" s="68" t="s">
        <v>1296</v>
      </c>
      <c r="D26" s="68" t="s">
        <v>36</v>
      </c>
      <c r="E26" s="68">
        <v>4762857593</v>
      </c>
      <c r="F26" s="68">
        <v>1</v>
      </c>
      <c r="G26" s="68">
        <v>10</v>
      </c>
      <c r="H26" s="68">
        <v>2.5</v>
      </c>
      <c r="I26" s="68">
        <v>10</v>
      </c>
      <c r="J26" s="68">
        <v>2.5</v>
      </c>
      <c r="K26" s="68">
        <v>2.5</v>
      </c>
      <c r="L26" s="68">
        <v>2.5</v>
      </c>
      <c r="M26" s="68"/>
      <c r="N26" s="68"/>
      <c r="O26" s="68"/>
    </row>
    <row r="27" spans="1:15">
      <c r="A27" s="68" t="s">
        <v>18</v>
      </c>
      <c r="B27" s="69">
        <v>45447</v>
      </c>
      <c r="C27" s="68" t="s">
        <v>1297</v>
      </c>
      <c r="D27" s="68" t="s">
        <v>608</v>
      </c>
      <c r="E27" s="68">
        <v>4418750355</v>
      </c>
      <c r="F27" s="68">
        <v>10</v>
      </c>
      <c r="G27" s="68">
        <v>10</v>
      </c>
      <c r="H27" s="68">
        <v>10</v>
      </c>
      <c r="I27" s="68">
        <v>10</v>
      </c>
      <c r="J27" s="68">
        <v>10</v>
      </c>
      <c r="K27" s="68">
        <v>10</v>
      </c>
      <c r="L27" s="68">
        <v>10</v>
      </c>
      <c r="M27" s="68"/>
      <c r="N27" s="68"/>
      <c r="O27" s="68"/>
    </row>
    <row r="28" spans="1:15">
      <c r="A28" s="68" t="s">
        <v>18</v>
      </c>
      <c r="B28" s="69">
        <v>45447</v>
      </c>
      <c r="C28" s="68" t="s">
        <v>1298</v>
      </c>
      <c r="D28" s="68" t="s">
        <v>25</v>
      </c>
      <c r="E28" s="68">
        <v>4263697757</v>
      </c>
      <c r="F28" s="68">
        <v>6</v>
      </c>
      <c r="G28" s="68"/>
      <c r="H28" s="68"/>
      <c r="I28" s="68"/>
      <c r="J28" s="68"/>
      <c r="K28" s="68"/>
      <c r="L28" s="68"/>
      <c r="M28" s="68"/>
      <c r="N28" s="68"/>
      <c r="O28" s="68"/>
    </row>
    <row r="29" spans="1:15">
      <c r="A29" s="68" t="s">
        <v>18</v>
      </c>
      <c r="B29" s="69">
        <v>45447</v>
      </c>
      <c r="C29" s="68" t="s">
        <v>1299</v>
      </c>
      <c r="D29" s="68" t="s">
        <v>36</v>
      </c>
      <c r="E29" s="68">
        <v>4744116690</v>
      </c>
      <c r="F29" s="68">
        <v>10</v>
      </c>
      <c r="G29" s="68">
        <v>10</v>
      </c>
      <c r="H29" s="68">
        <v>10</v>
      </c>
      <c r="I29" s="68">
        <v>10</v>
      </c>
      <c r="J29" s="68">
        <v>10</v>
      </c>
      <c r="K29" s="68">
        <v>10</v>
      </c>
      <c r="L29" s="68">
        <v>10</v>
      </c>
      <c r="M29" s="68"/>
      <c r="N29" s="68"/>
      <c r="O29" s="68"/>
    </row>
    <row r="30" spans="1:15">
      <c r="A30" s="68" t="s">
        <v>18</v>
      </c>
      <c r="B30" s="69">
        <v>45448</v>
      </c>
      <c r="C30" s="68" t="s">
        <v>1300</v>
      </c>
      <c r="D30" s="68" t="s">
        <v>45</v>
      </c>
      <c r="E30" s="68">
        <v>4744239935</v>
      </c>
      <c r="F30" s="68">
        <v>7</v>
      </c>
      <c r="G30" s="68">
        <v>5</v>
      </c>
      <c r="H30" s="68">
        <v>7.5</v>
      </c>
      <c r="I30" s="68">
        <v>10</v>
      </c>
      <c r="J30" s="68">
        <v>2.5</v>
      </c>
      <c r="K30" s="68">
        <v>5</v>
      </c>
      <c r="L30" s="68">
        <v>10</v>
      </c>
      <c r="M30" s="68" t="s">
        <v>1301</v>
      </c>
      <c r="N30" s="68" t="s">
        <v>1302</v>
      </c>
      <c r="O30" s="68" t="s">
        <v>1303</v>
      </c>
    </row>
    <row r="31" spans="1:15">
      <c r="A31" s="68" t="s">
        <v>18</v>
      </c>
      <c r="B31" s="69">
        <v>45448</v>
      </c>
      <c r="C31" s="68" t="s">
        <v>1304</v>
      </c>
      <c r="D31" s="68" t="s">
        <v>45</v>
      </c>
      <c r="E31" s="68">
        <v>4545876929</v>
      </c>
      <c r="F31" s="68">
        <v>1</v>
      </c>
      <c r="G31" s="68">
        <v>2.5</v>
      </c>
      <c r="H31" s="68">
        <v>2.5</v>
      </c>
      <c r="I31" s="68">
        <v>2.5</v>
      </c>
      <c r="J31" s="68">
        <v>2.5</v>
      </c>
      <c r="K31" s="68">
        <v>2.5</v>
      </c>
      <c r="L31" s="68">
        <v>2.5</v>
      </c>
      <c r="M31" s="68"/>
      <c r="N31" s="68" t="s">
        <v>1305</v>
      </c>
      <c r="O31" s="68" t="s">
        <v>1301</v>
      </c>
    </row>
    <row r="32" spans="1:15">
      <c r="A32" s="68" t="s">
        <v>18</v>
      </c>
      <c r="B32" s="69">
        <v>45448</v>
      </c>
      <c r="C32" s="68" t="s">
        <v>521</v>
      </c>
      <c r="D32" s="68" t="s">
        <v>105</v>
      </c>
      <c r="E32" s="68">
        <v>4551575821</v>
      </c>
      <c r="F32" s="68">
        <v>8</v>
      </c>
      <c r="G32" s="68">
        <v>10</v>
      </c>
      <c r="H32" s="68">
        <v>7.5</v>
      </c>
      <c r="I32" s="68">
        <v>10</v>
      </c>
      <c r="J32" s="68">
        <v>7.5</v>
      </c>
      <c r="K32" s="68">
        <v>10</v>
      </c>
      <c r="L32" s="68">
        <v>10</v>
      </c>
      <c r="M32" s="68"/>
      <c r="N32" s="68"/>
      <c r="O32" s="68"/>
    </row>
    <row r="33" spans="1:15">
      <c r="A33" s="68" t="s">
        <v>18</v>
      </c>
      <c r="B33" s="69">
        <v>45448</v>
      </c>
      <c r="C33" s="68" t="s">
        <v>1306</v>
      </c>
      <c r="D33" s="68" t="s">
        <v>148</v>
      </c>
      <c r="E33" s="68">
        <v>4456626437</v>
      </c>
      <c r="F33" s="68">
        <v>8</v>
      </c>
      <c r="G33" s="68">
        <v>10</v>
      </c>
      <c r="H33" s="68">
        <v>7.5</v>
      </c>
      <c r="I33" s="68">
        <v>10</v>
      </c>
      <c r="J33" s="68">
        <v>7.5</v>
      </c>
      <c r="K33" s="68">
        <v>7.5</v>
      </c>
      <c r="L33" s="68">
        <v>10</v>
      </c>
      <c r="M33" s="68" t="s">
        <v>1307</v>
      </c>
      <c r="N33" s="68" t="s">
        <v>1308</v>
      </c>
      <c r="O33" s="68" t="s">
        <v>1309</v>
      </c>
    </row>
    <row r="34" spans="1:15">
      <c r="A34" s="68" t="s">
        <v>18</v>
      </c>
      <c r="B34" s="69">
        <v>45449</v>
      </c>
      <c r="C34" s="68" t="s">
        <v>1310</v>
      </c>
      <c r="D34" s="68" t="s">
        <v>587</v>
      </c>
      <c r="E34" s="68">
        <v>4777321284</v>
      </c>
      <c r="F34" s="68">
        <v>8</v>
      </c>
      <c r="G34" s="68">
        <v>10</v>
      </c>
      <c r="H34" s="68">
        <v>7.5</v>
      </c>
      <c r="I34" s="68">
        <v>10</v>
      </c>
      <c r="J34" s="68">
        <v>7.5</v>
      </c>
      <c r="K34" s="68">
        <v>10</v>
      </c>
      <c r="L34" s="68">
        <v>10</v>
      </c>
      <c r="M34" s="68" t="s">
        <v>1311</v>
      </c>
      <c r="N34" s="68" t="s">
        <v>1312</v>
      </c>
      <c r="O34" s="68"/>
    </row>
    <row r="35" spans="1:15">
      <c r="A35" s="68" t="s">
        <v>18</v>
      </c>
      <c r="B35" s="69">
        <v>45449</v>
      </c>
      <c r="C35" s="68" t="s">
        <v>1313</v>
      </c>
      <c r="D35" s="68" t="s">
        <v>28</v>
      </c>
      <c r="E35" s="68">
        <v>4574104582</v>
      </c>
      <c r="F35" s="68">
        <v>7</v>
      </c>
      <c r="G35" s="68">
        <v>10</v>
      </c>
      <c r="H35" s="68">
        <v>5</v>
      </c>
      <c r="I35" s="68">
        <v>10</v>
      </c>
      <c r="J35" s="68">
        <v>5</v>
      </c>
      <c r="K35" s="68">
        <v>7.5</v>
      </c>
      <c r="L35" s="68">
        <v>10</v>
      </c>
      <c r="M35" s="68" t="s">
        <v>1314</v>
      </c>
      <c r="N35" s="68" t="s">
        <v>1315</v>
      </c>
      <c r="O35" s="68" t="s">
        <v>1316</v>
      </c>
    </row>
    <row r="36" spans="1:15">
      <c r="A36" s="68" t="s">
        <v>18</v>
      </c>
      <c r="B36" s="69">
        <v>45449</v>
      </c>
      <c r="C36" s="68" t="s">
        <v>1317</v>
      </c>
      <c r="D36" s="68" t="s">
        <v>105</v>
      </c>
      <c r="E36" s="68">
        <v>4324332897</v>
      </c>
      <c r="F36" s="68">
        <v>1</v>
      </c>
      <c r="G36" s="68">
        <v>5</v>
      </c>
      <c r="H36" s="68">
        <v>2.5</v>
      </c>
      <c r="I36" s="68">
        <v>10</v>
      </c>
      <c r="J36" s="68">
        <v>2.5</v>
      </c>
      <c r="K36" s="68">
        <v>5</v>
      </c>
      <c r="L36" s="68">
        <v>2.5</v>
      </c>
      <c r="M36" s="68"/>
      <c r="N36" s="68"/>
      <c r="O36" s="68"/>
    </row>
    <row r="37" spans="1:15">
      <c r="A37" s="68" t="s">
        <v>18</v>
      </c>
      <c r="B37" s="69">
        <v>45449</v>
      </c>
      <c r="C37" s="68" t="s">
        <v>1318</v>
      </c>
      <c r="D37" s="68" t="s">
        <v>45</v>
      </c>
      <c r="E37" s="68">
        <v>4726029979</v>
      </c>
      <c r="F37" s="68">
        <v>6</v>
      </c>
      <c r="G37" s="68">
        <v>7.5</v>
      </c>
      <c r="H37" s="68">
        <v>5</v>
      </c>
      <c r="I37" s="68">
        <v>10</v>
      </c>
      <c r="J37" s="68">
        <v>5</v>
      </c>
      <c r="K37" s="68">
        <v>7.5</v>
      </c>
      <c r="L37" s="68">
        <v>5</v>
      </c>
      <c r="M37" s="68" t="s">
        <v>1319</v>
      </c>
      <c r="N37" s="68" t="s">
        <v>1320</v>
      </c>
      <c r="O37" s="68" t="s">
        <v>1321</v>
      </c>
    </row>
    <row r="38" spans="1:15" ht="12.75">
      <c r="A38" s="68" t="s">
        <v>18</v>
      </c>
      <c r="B38" s="69">
        <v>45450</v>
      </c>
      <c r="C38" s="68" t="s">
        <v>1322</v>
      </c>
      <c r="D38" s="68" t="s">
        <v>60</v>
      </c>
      <c r="E38" s="68">
        <v>4362593579</v>
      </c>
      <c r="F38" s="68">
        <v>7</v>
      </c>
      <c r="G38" s="68">
        <v>7.5</v>
      </c>
      <c r="H38" s="68">
        <v>7.5</v>
      </c>
      <c r="I38" s="68">
        <v>7.5</v>
      </c>
      <c r="J38" s="68">
        <v>7.5</v>
      </c>
      <c r="K38" s="68">
        <v>7.5</v>
      </c>
      <c r="L38" s="68">
        <v>7.5</v>
      </c>
      <c r="M38" s="68"/>
      <c r="N38" s="68"/>
      <c r="O38" s="68"/>
    </row>
    <row r="39" spans="1:15" ht="12.75">
      <c r="A39" s="68" t="s">
        <v>18</v>
      </c>
      <c r="B39" s="69">
        <v>45450</v>
      </c>
      <c r="C39" s="68" t="s">
        <v>1323</v>
      </c>
      <c r="D39" s="68" t="s">
        <v>60</v>
      </c>
      <c r="E39" s="68">
        <v>4551692915</v>
      </c>
      <c r="F39" s="68">
        <v>8</v>
      </c>
      <c r="G39" s="68">
        <v>10</v>
      </c>
      <c r="H39" s="68">
        <v>10</v>
      </c>
      <c r="I39" s="68">
        <v>10</v>
      </c>
      <c r="J39" s="68">
        <v>7.5</v>
      </c>
      <c r="K39" s="68">
        <v>10</v>
      </c>
      <c r="L39" s="68">
        <v>10</v>
      </c>
      <c r="M39" s="68" t="s">
        <v>1324</v>
      </c>
      <c r="N39" s="68" t="s">
        <v>1325</v>
      </c>
      <c r="O39" s="68"/>
    </row>
    <row r="40" spans="1:15" ht="12.75">
      <c r="A40" s="68" t="s">
        <v>18</v>
      </c>
      <c r="B40" s="69">
        <v>45450</v>
      </c>
      <c r="C40" s="68" t="s">
        <v>1326</v>
      </c>
      <c r="D40" s="68" t="s">
        <v>431</v>
      </c>
      <c r="E40" s="68">
        <v>4353135380</v>
      </c>
      <c r="F40" s="68">
        <v>10</v>
      </c>
      <c r="G40" s="68">
        <v>10</v>
      </c>
      <c r="H40" s="68">
        <v>10</v>
      </c>
      <c r="I40" s="68">
        <v>10</v>
      </c>
      <c r="J40" s="68">
        <v>10</v>
      </c>
      <c r="K40" s="68">
        <v>10</v>
      </c>
      <c r="L40" s="68">
        <v>10</v>
      </c>
      <c r="M40" s="68"/>
      <c r="N40" s="68"/>
      <c r="O40" s="68"/>
    </row>
    <row r="41" spans="1:15" ht="12.75">
      <c r="A41" s="68" t="s">
        <v>18</v>
      </c>
      <c r="B41" s="69">
        <v>45450</v>
      </c>
      <c r="C41" s="68" t="s">
        <v>1327</v>
      </c>
      <c r="D41" s="68" t="s">
        <v>54</v>
      </c>
      <c r="E41" s="68">
        <v>4264132408</v>
      </c>
      <c r="F41" s="68">
        <v>9</v>
      </c>
      <c r="G41" s="68">
        <v>10</v>
      </c>
      <c r="H41" s="68">
        <v>7.5</v>
      </c>
      <c r="I41" s="68">
        <v>7.5</v>
      </c>
      <c r="J41" s="68">
        <v>10</v>
      </c>
      <c r="K41" s="68">
        <v>7.5</v>
      </c>
      <c r="L41" s="68">
        <v>10</v>
      </c>
      <c r="M41" s="68"/>
      <c r="N41" s="68"/>
      <c r="O41" s="68"/>
    </row>
    <row r="42" spans="1:15" ht="12.75">
      <c r="A42" s="68" t="s">
        <v>18</v>
      </c>
      <c r="B42" s="69">
        <v>45450</v>
      </c>
      <c r="C42" s="68" t="s">
        <v>1328</v>
      </c>
      <c r="D42" s="68" t="s">
        <v>36</v>
      </c>
      <c r="E42" s="68">
        <v>4254518767</v>
      </c>
      <c r="F42" s="68">
        <v>10</v>
      </c>
      <c r="G42" s="68">
        <v>10</v>
      </c>
      <c r="H42" s="68">
        <v>10</v>
      </c>
      <c r="I42" s="68">
        <v>10</v>
      </c>
      <c r="J42" s="68">
        <v>10</v>
      </c>
      <c r="K42" s="68">
        <v>10</v>
      </c>
      <c r="L42" s="68">
        <v>10</v>
      </c>
      <c r="M42" s="68" t="s">
        <v>1329</v>
      </c>
      <c r="N42" s="68"/>
      <c r="O42" s="68" t="s">
        <v>1330</v>
      </c>
    </row>
    <row r="43" spans="1:15" ht="12.75">
      <c r="A43" s="68" t="s">
        <v>18</v>
      </c>
      <c r="B43" s="69">
        <v>45450</v>
      </c>
      <c r="C43" s="68" t="s">
        <v>1331</v>
      </c>
      <c r="D43" s="68" t="s">
        <v>171</v>
      </c>
      <c r="E43" s="68">
        <v>4551690144</v>
      </c>
      <c r="F43" s="68">
        <v>1</v>
      </c>
      <c r="G43" s="68">
        <v>7.5</v>
      </c>
      <c r="H43" s="68">
        <v>2.5</v>
      </c>
      <c r="I43" s="68">
        <v>7.5</v>
      </c>
      <c r="J43" s="68">
        <v>2.5</v>
      </c>
      <c r="K43" s="68">
        <v>2.5</v>
      </c>
      <c r="L43" s="68">
        <v>2.5</v>
      </c>
      <c r="M43" s="68"/>
      <c r="N43" s="68" t="s">
        <v>1332</v>
      </c>
      <c r="O43" s="68" t="s">
        <v>1333</v>
      </c>
    </row>
    <row r="44" spans="1:15" ht="12.75">
      <c r="A44" s="68" t="s">
        <v>18</v>
      </c>
      <c r="B44" s="69">
        <v>45450</v>
      </c>
      <c r="C44" s="68" t="s">
        <v>158</v>
      </c>
      <c r="D44" s="68" t="s">
        <v>45</v>
      </c>
      <c r="E44" s="68">
        <v>4437059154</v>
      </c>
      <c r="F44" s="68">
        <v>8</v>
      </c>
      <c r="G44" s="68">
        <v>10</v>
      </c>
      <c r="H44" s="68">
        <v>7.5</v>
      </c>
      <c r="I44" s="68">
        <v>10</v>
      </c>
      <c r="J44" s="68">
        <v>7.5</v>
      </c>
      <c r="K44" s="68">
        <v>7.5</v>
      </c>
      <c r="L44" s="68">
        <v>10</v>
      </c>
      <c r="M44" s="68"/>
      <c r="N44" s="68"/>
      <c r="O44" s="68"/>
    </row>
    <row r="45" spans="1:15" ht="12.75">
      <c r="A45" s="68" t="s">
        <v>18</v>
      </c>
      <c r="B45" s="69">
        <v>45450</v>
      </c>
      <c r="C45" s="68" t="s">
        <v>1334</v>
      </c>
      <c r="D45" s="68" t="s">
        <v>171</v>
      </c>
      <c r="E45" s="68">
        <v>4839060115</v>
      </c>
      <c r="F45" s="68">
        <v>8</v>
      </c>
      <c r="G45" s="68">
        <v>7.5</v>
      </c>
      <c r="H45" s="68">
        <v>7.5</v>
      </c>
      <c r="I45" s="68">
        <v>10</v>
      </c>
      <c r="J45" s="68">
        <v>5</v>
      </c>
      <c r="K45" s="68">
        <v>7.5</v>
      </c>
      <c r="L45" s="68">
        <v>10</v>
      </c>
      <c r="M45" s="68" t="s">
        <v>1335</v>
      </c>
      <c r="N45" s="68" t="s">
        <v>1336</v>
      </c>
      <c r="O45" s="68" t="s">
        <v>1337</v>
      </c>
    </row>
    <row r="46" spans="1:15" ht="12.75">
      <c r="A46" s="68" t="s">
        <v>18</v>
      </c>
      <c r="B46" s="69">
        <v>45451</v>
      </c>
      <c r="C46" s="68" t="s">
        <v>1338</v>
      </c>
      <c r="D46" s="68" t="s">
        <v>1050</v>
      </c>
      <c r="E46" s="68">
        <v>4939489238</v>
      </c>
      <c r="F46" s="68">
        <v>10</v>
      </c>
      <c r="G46" s="68">
        <v>10</v>
      </c>
      <c r="H46" s="68">
        <v>10</v>
      </c>
      <c r="I46" s="68">
        <v>10</v>
      </c>
      <c r="J46" s="68">
        <v>10</v>
      </c>
      <c r="K46" s="68">
        <v>10</v>
      </c>
      <c r="L46" s="68">
        <v>10</v>
      </c>
      <c r="M46" s="68"/>
      <c r="N46" s="68"/>
      <c r="O46" s="68"/>
    </row>
    <row r="47" spans="1:15" ht="12.75">
      <c r="A47" s="68" t="s">
        <v>18</v>
      </c>
      <c r="B47" s="69">
        <v>45451</v>
      </c>
      <c r="C47" s="68" t="s">
        <v>1339</v>
      </c>
      <c r="D47" s="68" t="s">
        <v>45</v>
      </c>
      <c r="E47" s="68">
        <v>4108038681</v>
      </c>
      <c r="F47" s="68">
        <v>6</v>
      </c>
      <c r="G47" s="68">
        <v>10</v>
      </c>
      <c r="H47" s="68">
        <v>7.5</v>
      </c>
      <c r="I47" s="68">
        <v>10</v>
      </c>
      <c r="J47" s="68">
        <v>5</v>
      </c>
      <c r="K47" s="68">
        <v>5</v>
      </c>
      <c r="L47" s="68">
        <v>5</v>
      </c>
      <c r="M47" s="68"/>
      <c r="N47" s="68"/>
      <c r="O47" s="68"/>
    </row>
    <row r="48" spans="1:15" ht="12.75">
      <c r="A48" s="68" t="s">
        <v>18</v>
      </c>
      <c r="B48" s="69">
        <v>45451</v>
      </c>
      <c r="C48" s="68" t="s">
        <v>464</v>
      </c>
      <c r="D48" s="68" t="s">
        <v>36</v>
      </c>
      <c r="E48" s="68">
        <v>4589575043</v>
      </c>
      <c r="F48" s="68">
        <v>7</v>
      </c>
      <c r="G48" s="68">
        <v>7.5</v>
      </c>
      <c r="H48" s="68">
        <v>5</v>
      </c>
      <c r="I48" s="68">
        <v>10</v>
      </c>
      <c r="J48" s="68">
        <v>7.5</v>
      </c>
      <c r="K48" s="68">
        <v>5</v>
      </c>
      <c r="L48" s="68">
        <v>7.5</v>
      </c>
      <c r="M48" s="68"/>
      <c r="N48" s="68"/>
      <c r="O48" s="68"/>
    </row>
    <row r="49" spans="1:26" ht="12.75">
      <c r="A49" s="68" t="s">
        <v>18</v>
      </c>
      <c r="B49" s="69">
        <v>45451</v>
      </c>
      <c r="C49" s="68" t="s">
        <v>1340</v>
      </c>
      <c r="D49" s="68" t="s">
        <v>136</v>
      </c>
      <c r="E49" s="68">
        <v>4532541301</v>
      </c>
      <c r="F49" s="68">
        <v>8</v>
      </c>
      <c r="G49" s="68">
        <v>10</v>
      </c>
      <c r="H49" s="68">
        <v>7.5</v>
      </c>
      <c r="I49" s="68">
        <v>10</v>
      </c>
      <c r="J49" s="68">
        <v>7.5</v>
      </c>
      <c r="K49" s="68">
        <v>7.5</v>
      </c>
      <c r="L49" s="68">
        <v>10</v>
      </c>
      <c r="M49" s="68" t="s">
        <v>1341</v>
      </c>
      <c r="N49" s="68" t="s">
        <v>1342</v>
      </c>
      <c r="O49" s="68" t="s">
        <v>1343</v>
      </c>
    </row>
    <row r="50" spans="1:26" ht="12.75">
      <c r="A50" s="68" t="s">
        <v>18</v>
      </c>
      <c r="B50" s="69">
        <v>45451</v>
      </c>
      <c r="C50" s="68" t="s">
        <v>1344</v>
      </c>
      <c r="D50" s="68" t="s">
        <v>54</v>
      </c>
      <c r="E50" s="68">
        <v>4747695238</v>
      </c>
      <c r="F50" s="68">
        <v>7.5</v>
      </c>
      <c r="G50" s="68">
        <v>7.5</v>
      </c>
      <c r="H50" s="68">
        <v>7.5</v>
      </c>
      <c r="I50" s="68">
        <v>10</v>
      </c>
      <c r="J50" s="68">
        <v>7.5</v>
      </c>
      <c r="K50" s="68">
        <v>5</v>
      </c>
      <c r="L50" s="68">
        <v>7.5</v>
      </c>
      <c r="M50" s="68" t="s">
        <v>1345</v>
      </c>
      <c r="N50" s="68" t="s">
        <v>1346</v>
      </c>
      <c r="O50" s="68" t="s">
        <v>1039</v>
      </c>
    </row>
    <row r="51" spans="1:26" ht="12.75">
      <c r="A51" s="68" t="s">
        <v>18</v>
      </c>
      <c r="B51" s="69">
        <v>45451</v>
      </c>
      <c r="C51" s="68" t="s">
        <v>1347</v>
      </c>
      <c r="D51" s="68" t="s">
        <v>54</v>
      </c>
      <c r="E51" s="68">
        <v>4742349133</v>
      </c>
      <c r="F51" s="68">
        <v>8</v>
      </c>
      <c r="G51" s="68">
        <v>7.5</v>
      </c>
      <c r="H51" s="68">
        <v>7.5</v>
      </c>
      <c r="I51" s="68">
        <v>10</v>
      </c>
      <c r="J51" s="68">
        <v>7.5</v>
      </c>
      <c r="K51" s="68">
        <v>7.5</v>
      </c>
      <c r="L51" s="68">
        <v>7.5</v>
      </c>
      <c r="M51" s="68" t="s">
        <v>1348</v>
      </c>
      <c r="N51" s="68" t="s">
        <v>1349</v>
      </c>
      <c r="O51" s="68"/>
    </row>
    <row r="52" spans="1:26" ht="12.75">
      <c r="A52" s="68" t="s">
        <v>18</v>
      </c>
      <c r="B52" s="69">
        <v>45451</v>
      </c>
      <c r="C52" s="68" t="s">
        <v>1350</v>
      </c>
      <c r="D52" s="68" t="s">
        <v>43</v>
      </c>
      <c r="E52" s="68">
        <v>4464336370</v>
      </c>
      <c r="F52" s="68">
        <v>3</v>
      </c>
      <c r="G52" s="68">
        <v>7.5</v>
      </c>
      <c r="H52" s="68">
        <v>5</v>
      </c>
      <c r="I52" s="68">
        <v>10</v>
      </c>
      <c r="J52" s="68">
        <v>2.5</v>
      </c>
      <c r="K52" s="68">
        <v>2.5</v>
      </c>
      <c r="L52" s="68">
        <v>2.5</v>
      </c>
      <c r="M52" s="68"/>
      <c r="N52" s="68"/>
      <c r="O52" s="68" t="s">
        <v>1351</v>
      </c>
    </row>
    <row r="53" spans="1:26" ht="12.75">
      <c r="A53" s="68" t="s">
        <v>18</v>
      </c>
      <c r="B53" s="69">
        <v>45451</v>
      </c>
      <c r="C53" s="68" t="s">
        <v>1352</v>
      </c>
      <c r="D53" s="68" t="s">
        <v>148</v>
      </c>
      <c r="E53" s="68">
        <v>4870848101</v>
      </c>
      <c r="F53" s="68">
        <v>1</v>
      </c>
      <c r="G53" s="68">
        <v>5</v>
      </c>
      <c r="H53" s="68">
        <v>2.5</v>
      </c>
      <c r="I53" s="68">
        <v>5</v>
      </c>
      <c r="J53" s="68">
        <v>5</v>
      </c>
      <c r="K53" s="68">
        <v>2.5</v>
      </c>
      <c r="L53" s="68">
        <v>2.5</v>
      </c>
      <c r="M53" s="68"/>
      <c r="N53" s="68"/>
      <c r="O53" s="68" t="s">
        <v>1353</v>
      </c>
    </row>
    <row r="54" spans="1:26" ht="12.75">
      <c r="A54" s="68" t="s">
        <v>18</v>
      </c>
      <c r="B54" s="69">
        <v>45451</v>
      </c>
      <c r="C54" s="68" t="s">
        <v>1354</v>
      </c>
      <c r="D54" s="68" t="s">
        <v>54</v>
      </c>
      <c r="E54" s="68">
        <v>4516336483</v>
      </c>
      <c r="F54" s="68">
        <v>8</v>
      </c>
      <c r="G54" s="68">
        <v>10</v>
      </c>
      <c r="H54" s="68">
        <v>10</v>
      </c>
      <c r="I54" s="68">
        <v>10</v>
      </c>
      <c r="J54" s="68">
        <v>7.5</v>
      </c>
      <c r="K54" s="68">
        <v>7.5</v>
      </c>
      <c r="L54" s="68">
        <v>10</v>
      </c>
      <c r="M54" s="68" t="s">
        <v>1355</v>
      </c>
      <c r="N54" s="68"/>
      <c r="O54" s="68" t="s">
        <v>1039</v>
      </c>
    </row>
    <row r="55" spans="1:26" ht="12.75">
      <c r="A55" s="68" t="s">
        <v>18</v>
      </c>
      <c r="B55" s="69">
        <v>45452</v>
      </c>
      <c r="C55" s="68" t="s">
        <v>921</v>
      </c>
      <c r="D55" s="68" t="s">
        <v>105</v>
      </c>
      <c r="E55" s="68">
        <v>4658437212</v>
      </c>
      <c r="F55" s="68">
        <v>8</v>
      </c>
      <c r="G55" s="68">
        <v>10</v>
      </c>
      <c r="H55" s="68">
        <v>10</v>
      </c>
      <c r="I55" s="68">
        <v>10</v>
      </c>
      <c r="J55" s="68">
        <v>7.5</v>
      </c>
      <c r="K55" s="68">
        <v>7.5</v>
      </c>
      <c r="L55" s="68">
        <v>7.5</v>
      </c>
      <c r="M55" s="68" t="s">
        <v>1356</v>
      </c>
      <c r="N55" s="68" t="s">
        <v>1357</v>
      </c>
      <c r="O55" s="68" t="s">
        <v>1046</v>
      </c>
    </row>
    <row r="56" spans="1:26" ht="12.75">
      <c r="A56" s="68" t="s">
        <v>18</v>
      </c>
      <c r="B56" s="69">
        <v>45452</v>
      </c>
      <c r="C56" s="68" t="s">
        <v>1358</v>
      </c>
      <c r="D56" s="68" t="s">
        <v>136</v>
      </c>
      <c r="E56" s="68">
        <v>4948832081</v>
      </c>
      <c r="F56" s="68">
        <v>10</v>
      </c>
      <c r="G56" s="68">
        <v>10</v>
      </c>
      <c r="H56" s="68">
        <v>10</v>
      </c>
      <c r="I56" s="68">
        <v>10</v>
      </c>
      <c r="J56" s="68">
        <v>10</v>
      </c>
      <c r="K56" s="68">
        <v>10</v>
      </c>
      <c r="L56" s="68">
        <v>10</v>
      </c>
      <c r="M56" s="68"/>
      <c r="N56" s="68"/>
      <c r="O56" s="68" t="s">
        <v>1359</v>
      </c>
    </row>
    <row r="57" spans="1:26" ht="12.75">
      <c r="A57" s="68" t="s">
        <v>18</v>
      </c>
      <c r="B57" s="69">
        <v>45452</v>
      </c>
      <c r="C57" s="68" t="s">
        <v>1360</v>
      </c>
      <c r="D57" s="68" t="s">
        <v>93</v>
      </c>
      <c r="E57" s="68">
        <v>4643464372</v>
      </c>
      <c r="F57" s="68">
        <v>10</v>
      </c>
      <c r="G57" s="68">
        <v>10</v>
      </c>
      <c r="H57" s="68">
        <v>10</v>
      </c>
      <c r="I57" s="68">
        <v>10</v>
      </c>
      <c r="J57" s="68">
        <v>10</v>
      </c>
      <c r="K57" s="68">
        <v>7.5</v>
      </c>
      <c r="L57" s="68">
        <v>10</v>
      </c>
      <c r="M57" s="68" t="s">
        <v>1361</v>
      </c>
      <c r="N57" s="68"/>
      <c r="O57" s="68" t="s">
        <v>1362</v>
      </c>
    </row>
    <row r="58" spans="1:26" ht="12.75">
      <c r="A58" s="68" t="s">
        <v>18</v>
      </c>
      <c r="B58" s="69">
        <v>45452</v>
      </c>
      <c r="C58" s="68" t="s">
        <v>792</v>
      </c>
      <c r="D58" s="68" t="s">
        <v>571</v>
      </c>
      <c r="E58" s="68">
        <v>4867806064</v>
      </c>
      <c r="F58" s="68">
        <v>4</v>
      </c>
      <c r="G58" s="68">
        <v>7.5</v>
      </c>
      <c r="H58" s="68">
        <v>5</v>
      </c>
      <c r="I58" s="68">
        <v>10</v>
      </c>
      <c r="J58" s="68">
        <v>5</v>
      </c>
      <c r="K58" s="68">
        <v>5</v>
      </c>
      <c r="L58" s="68">
        <v>2.5</v>
      </c>
      <c r="M58" s="68"/>
      <c r="N58" s="68" t="s">
        <v>1363</v>
      </c>
      <c r="O58" s="68" t="s">
        <v>1364</v>
      </c>
    </row>
    <row r="59" spans="1:26" ht="12.75">
      <c r="A59" s="68" t="s">
        <v>18</v>
      </c>
      <c r="B59" s="69">
        <v>45452</v>
      </c>
      <c r="C59" s="68" t="s">
        <v>1365</v>
      </c>
      <c r="D59" s="68" t="s">
        <v>60</v>
      </c>
      <c r="E59" s="68">
        <v>4958171831</v>
      </c>
      <c r="F59" s="68">
        <v>7</v>
      </c>
      <c r="G59" s="68">
        <v>7.5</v>
      </c>
      <c r="H59" s="68">
        <v>7.5</v>
      </c>
      <c r="I59" s="68">
        <v>10</v>
      </c>
      <c r="J59" s="68">
        <v>5</v>
      </c>
      <c r="K59" s="68">
        <v>7.5</v>
      </c>
      <c r="L59" s="68">
        <v>7.5</v>
      </c>
      <c r="M59" s="68"/>
      <c r="N59" s="68"/>
      <c r="O59" s="68"/>
    </row>
    <row r="60" spans="1:26" ht="12.75">
      <c r="A60" s="68" t="s">
        <v>18</v>
      </c>
      <c r="B60" s="69">
        <v>45452</v>
      </c>
      <c r="C60" s="68" t="s">
        <v>789</v>
      </c>
      <c r="D60" s="68" t="s">
        <v>54</v>
      </c>
      <c r="E60" s="68">
        <v>4429846797</v>
      </c>
      <c r="F60" s="68">
        <v>1</v>
      </c>
      <c r="G60" s="68">
        <v>7.5</v>
      </c>
      <c r="H60" s="68">
        <v>5</v>
      </c>
      <c r="I60" s="68">
        <v>10</v>
      </c>
      <c r="J60" s="68">
        <v>2.5</v>
      </c>
      <c r="K60" s="68">
        <v>2.5</v>
      </c>
      <c r="L60" s="68">
        <v>2.5</v>
      </c>
      <c r="M60" s="68" t="s">
        <v>1366</v>
      </c>
      <c r="N60" s="68" t="s">
        <v>1367</v>
      </c>
      <c r="O60" s="68" t="s">
        <v>1039</v>
      </c>
    </row>
    <row r="61" spans="1:26" ht="12.75">
      <c r="A61" s="68" t="s">
        <v>18</v>
      </c>
      <c r="B61" s="69">
        <v>45453</v>
      </c>
      <c r="C61" s="68" t="s">
        <v>1368</v>
      </c>
      <c r="D61" s="68" t="s">
        <v>60</v>
      </c>
      <c r="E61" s="68">
        <v>4313890250</v>
      </c>
      <c r="F61" s="68">
        <v>8</v>
      </c>
      <c r="G61" s="68">
        <v>7.5</v>
      </c>
      <c r="H61" s="68">
        <v>7.5</v>
      </c>
      <c r="I61" s="68">
        <v>10</v>
      </c>
      <c r="J61" s="68">
        <v>5</v>
      </c>
      <c r="K61" s="68">
        <v>7.5</v>
      </c>
      <c r="L61" s="68">
        <v>5</v>
      </c>
      <c r="M61" s="68" t="s">
        <v>1369</v>
      </c>
      <c r="N61" s="68" t="s">
        <v>1370</v>
      </c>
      <c r="O61" s="68"/>
    </row>
    <row r="62" spans="1:26" ht="12.75">
      <c r="A62" s="68" t="s">
        <v>18</v>
      </c>
      <c r="B62" s="69">
        <v>45453</v>
      </c>
      <c r="C62" s="68" t="s">
        <v>1371</v>
      </c>
      <c r="D62" s="68" t="s">
        <v>58</v>
      </c>
      <c r="E62" s="68">
        <v>4007916614</v>
      </c>
      <c r="F62" s="68">
        <v>8</v>
      </c>
      <c r="G62" s="68">
        <v>5</v>
      </c>
      <c r="H62" s="68">
        <v>7.5</v>
      </c>
      <c r="I62" s="68">
        <v>10</v>
      </c>
      <c r="J62" s="68">
        <v>5</v>
      </c>
      <c r="K62" s="68">
        <v>10</v>
      </c>
      <c r="L62" s="68">
        <v>10</v>
      </c>
      <c r="M62" s="68"/>
      <c r="N62" s="68"/>
      <c r="O62" s="68"/>
    </row>
    <row r="63" spans="1:26" ht="12.75">
      <c r="A63" s="68" t="s">
        <v>18</v>
      </c>
      <c r="B63" s="69">
        <v>45453</v>
      </c>
      <c r="C63" s="68" t="s">
        <v>1372</v>
      </c>
      <c r="D63" s="68" t="s">
        <v>33</v>
      </c>
      <c r="E63" s="68">
        <v>4951219243</v>
      </c>
      <c r="F63" s="68">
        <v>4</v>
      </c>
      <c r="G63" s="68">
        <v>2.5</v>
      </c>
      <c r="H63" s="68">
        <v>2.5</v>
      </c>
      <c r="I63" s="68">
        <v>10</v>
      </c>
      <c r="J63" s="68">
        <v>2.5</v>
      </c>
      <c r="K63" s="68">
        <v>5</v>
      </c>
      <c r="L63" s="68">
        <v>5</v>
      </c>
      <c r="M63" s="68"/>
      <c r="N63" s="68" t="s">
        <v>1373</v>
      </c>
      <c r="O63" s="68"/>
    </row>
    <row r="64" spans="1:26" ht="12.75">
      <c r="A64" s="68" t="s">
        <v>18</v>
      </c>
      <c r="B64" s="69">
        <v>45453</v>
      </c>
      <c r="C64" s="68" t="s">
        <v>1374</v>
      </c>
      <c r="D64" s="68" t="s">
        <v>608</v>
      </c>
      <c r="E64" s="68">
        <v>4762319380</v>
      </c>
      <c r="F64" s="68">
        <v>10</v>
      </c>
      <c r="G64" s="68">
        <v>10</v>
      </c>
      <c r="H64" s="68">
        <v>10</v>
      </c>
      <c r="I64" s="68">
        <v>10</v>
      </c>
      <c r="J64" s="68">
        <v>10</v>
      </c>
      <c r="K64" s="68">
        <v>10</v>
      </c>
      <c r="L64" s="68">
        <v>10</v>
      </c>
      <c r="M64" s="68"/>
      <c r="N64" s="68"/>
      <c r="O64" s="68"/>
      <c r="P64" s="68"/>
      <c r="Q64" s="68"/>
      <c r="R64" s="68"/>
      <c r="S64" s="68"/>
      <c r="T64" s="68"/>
      <c r="U64" s="68"/>
      <c r="V64" s="68"/>
      <c r="W64" s="68"/>
      <c r="X64" s="68"/>
      <c r="Y64" s="68"/>
      <c r="Z64" s="68"/>
    </row>
    <row r="65" spans="1:15" ht="12.75">
      <c r="A65" s="68" t="s">
        <v>18</v>
      </c>
      <c r="B65" s="69">
        <v>45454</v>
      </c>
      <c r="C65" s="68" t="s">
        <v>1375</v>
      </c>
      <c r="D65" s="68" t="s">
        <v>85</v>
      </c>
      <c r="E65" s="68">
        <v>4504979745</v>
      </c>
      <c r="F65" s="68">
        <v>8</v>
      </c>
      <c r="G65" s="68">
        <v>10</v>
      </c>
      <c r="H65" s="68">
        <v>7.5</v>
      </c>
      <c r="I65" s="68">
        <v>10</v>
      </c>
      <c r="J65" s="68">
        <v>7.5</v>
      </c>
      <c r="K65" s="68">
        <v>10</v>
      </c>
      <c r="L65" s="68">
        <v>10</v>
      </c>
      <c r="M65" s="68" t="s">
        <v>1376</v>
      </c>
      <c r="N65" s="68" t="s">
        <v>1377</v>
      </c>
      <c r="O65" s="68" t="s">
        <v>1378</v>
      </c>
    </row>
    <row r="66" spans="1:15" ht="12.75">
      <c r="A66" s="68" t="s">
        <v>18</v>
      </c>
      <c r="B66" s="69">
        <v>45454</v>
      </c>
      <c r="C66" s="68" t="s">
        <v>1273</v>
      </c>
      <c r="D66" s="68" t="s">
        <v>431</v>
      </c>
      <c r="E66" s="68">
        <v>4672451644</v>
      </c>
      <c r="F66" s="68">
        <v>8</v>
      </c>
      <c r="G66" s="68">
        <v>10</v>
      </c>
      <c r="H66" s="68">
        <v>7.5</v>
      </c>
      <c r="I66" s="68">
        <v>10</v>
      </c>
      <c r="J66" s="68">
        <v>7.5</v>
      </c>
      <c r="K66" s="68">
        <v>10</v>
      </c>
      <c r="L66" s="68">
        <v>10</v>
      </c>
      <c r="M66" s="68"/>
      <c r="N66" s="68"/>
      <c r="O66" s="68"/>
    </row>
    <row r="67" spans="1:15" ht="12.75">
      <c r="A67" s="68" t="s">
        <v>18</v>
      </c>
      <c r="B67" s="69">
        <v>45454</v>
      </c>
      <c r="C67" s="68" t="s">
        <v>1379</v>
      </c>
      <c r="D67" s="68" t="s">
        <v>148</v>
      </c>
      <c r="E67" s="68">
        <v>4791966426</v>
      </c>
      <c r="F67" s="68">
        <v>6</v>
      </c>
      <c r="G67" s="68">
        <v>5</v>
      </c>
      <c r="H67" s="68">
        <v>5</v>
      </c>
      <c r="I67" s="68">
        <v>10</v>
      </c>
      <c r="J67" s="68">
        <v>5</v>
      </c>
      <c r="K67" s="68">
        <v>5</v>
      </c>
      <c r="L67" s="68">
        <v>7.5</v>
      </c>
      <c r="M67" s="68"/>
      <c r="N67" s="68"/>
      <c r="O67" s="68" t="s">
        <v>1380</v>
      </c>
    </row>
    <row r="68" spans="1:15" ht="12.75">
      <c r="A68" s="68" t="s">
        <v>18</v>
      </c>
      <c r="B68" s="69">
        <v>45454</v>
      </c>
      <c r="C68" s="68" t="s">
        <v>1381</v>
      </c>
      <c r="D68" s="68" t="s">
        <v>45</v>
      </c>
      <c r="E68" s="68">
        <v>4365965506</v>
      </c>
      <c r="F68" s="68">
        <v>6.25</v>
      </c>
      <c r="G68" s="68">
        <v>7.5</v>
      </c>
      <c r="H68" s="68">
        <v>5</v>
      </c>
      <c r="I68" s="68">
        <v>10</v>
      </c>
      <c r="J68" s="68">
        <v>2.5</v>
      </c>
      <c r="K68" s="68">
        <v>5</v>
      </c>
      <c r="L68" s="68">
        <v>10</v>
      </c>
      <c r="M68" s="68"/>
      <c r="N68" s="68"/>
      <c r="O68" s="68" t="s">
        <v>34</v>
      </c>
    </row>
    <row r="69" spans="1:15" ht="12.75">
      <c r="A69" s="68" t="s">
        <v>18</v>
      </c>
      <c r="B69" s="69">
        <v>45454</v>
      </c>
      <c r="C69" s="68" t="s">
        <v>1382</v>
      </c>
      <c r="D69" s="68" t="s">
        <v>60</v>
      </c>
      <c r="E69" s="68">
        <v>4383351427</v>
      </c>
      <c r="F69" s="68">
        <v>6.58</v>
      </c>
      <c r="G69" s="68">
        <v>7.5</v>
      </c>
      <c r="H69" s="68">
        <v>5</v>
      </c>
      <c r="I69" s="68">
        <v>10</v>
      </c>
      <c r="J69" s="68">
        <v>7.5</v>
      </c>
      <c r="K69" s="68">
        <v>5</v>
      </c>
      <c r="L69" s="68">
        <v>5</v>
      </c>
      <c r="M69" s="68"/>
      <c r="N69" s="68"/>
      <c r="O69" s="68" t="s">
        <v>1383</v>
      </c>
    </row>
    <row r="70" spans="1:15" ht="12.75">
      <c r="A70" s="68" t="s">
        <v>18</v>
      </c>
      <c r="B70" s="69">
        <v>45455</v>
      </c>
      <c r="C70" s="68" t="s">
        <v>1155</v>
      </c>
      <c r="D70" s="68" t="s">
        <v>33</v>
      </c>
      <c r="E70" s="68">
        <v>4475215915</v>
      </c>
      <c r="F70" s="68">
        <v>8.42</v>
      </c>
      <c r="G70" s="68">
        <v>10</v>
      </c>
      <c r="H70" s="68">
        <v>10</v>
      </c>
      <c r="I70" s="68">
        <v>10</v>
      </c>
      <c r="J70" s="68">
        <v>5</v>
      </c>
      <c r="K70" s="68">
        <v>7.5</v>
      </c>
      <c r="L70" s="68">
        <v>10</v>
      </c>
      <c r="M70" s="68" t="s">
        <v>1384</v>
      </c>
      <c r="N70" s="68" t="s">
        <v>1385</v>
      </c>
      <c r="O70" s="68"/>
    </row>
    <row r="71" spans="1:15" ht="12.75">
      <c r="A71" s="68" t="s">
        <v>18</v>
      </c>
      <c r="B71" s="69">
        <v>45455</v>
      </c>
      <c r="C71" s="68" t="s">
        <v>1386</v>
      </c>
      <c r="D71" s="68" t="s">
        <v>36</v>
      </c>
      <c r="E71" s="68">
        <v>4128796240</v>
      </c>
      <c r="F71" s="68">
        <v>7</v>
      </c>
      <c r="G71" s="68">
        <v>7.5</v>
      </c>
      <c r="H71" s="68">
        <v>7.5</v>
      </c>
      <c r="I71" s="68">
        <v>10</v>
      </c>
      <c r="J71" s="68">
        <v>7.5</v>
      </c>
      <c r="K71" s="68">
        <v>10</v>
      </c>
      <c r="L71" s="68">
        <v>7.5</v>
      </c>
      <c r="M71" s="68" t="s">
        <v>1387</v>
      </c>
      <c r="N71" s="68" t="s">
        <v>1388</v>
      </c>
      <c r="O71" s="68"/>
    </row>
    <row r="72" spans="1:15" ht="12.75">
      <c r="A72" s="68" t="s">
        <v>18</v>
      </c>
      <c r="B72" s="69">
        <v>45455</v>
      </c>
      <c r="C72" s="68" t="s">
        <v>828</v>
      </c>
      <c r="D72" s="68" t="s">
        <v>148</v>
      </c>
      <c r="E72" s="68">
        <v>4768261087</v>
      </c>
      <c r="F72" s="68">
        <v>7</v>
      </c>
      <c r="G72" s="68">
        <v>10</v>
      </c>
      <c r="H72" s="68">
        <v>7.5</v>
      </c>
      <c r="I72" s="68">
        <v>7.5</v>
      </c>
      <c r="J72" s="68">
        <v>7.5</v>
      </c>
      <c r="K72" s="68">
        <v>10</v>
      </c>
      <c r="L72" s="68">
        <v>7.5</v>
      </c>
      <c r="M72" s="68" t="s">
        <v>1389</v>
      </c>
      <c r="N72" s="68" t="s">
        <v>1390</v>
      </c>
      <c r="O72" s="68"/>
    </row>
    <row r="73" spans="1:15" ht="12.75">
      <c r="A73" s="68" t="s">
        <v>18</v>
      </c>
      <c r="B73" s="69">
        <v>45455</v>
      </c>
      <c r="C73" s="68" t="s">
        <v>1391</v>
      </c>
      <c r="D73" s="68" t="s">
        <v>43</v>
      </c>
      <c r="E73" s="68">
        <v>4545662226</v>
      </c>
      <c r="F73" s="68">
        <v>7</v>
      </c>
      <c r="G73" s="68">
        <v>10</v>
      </c>
      <c r="H73" s="68">
        <v>7.5</v>
      </c>
      <c r="I73" s="68">
        <v>7.5</v>
      </c>
      <c r="J73" s="68">
        <v>7.5</v>
      </c>
      <c r="K73" s="68">
        <v>7.5</v>
      </c>
      <c r="L73" s="68">
        <v>7.5</v>
      </c>
      <c r="M73" s="68"/>
      <c r="N73" s="68"/>
      <c r="O73" s="68"/>
    </row>
    <row r="74" spans="1:15" ht="12.75">
      <c r="A74" s="68" t="s">
        <v>18</v>
      </c>
      <c r="B74" s="69">
        <v>45455</v>
      </c>
      <c r="C74" s="68" t="s">
        <v>1299</v>
      </c>
      <c r="D74" s="68" t="s">
        <v>105</v>
      </c>
      <c r="E74" s="68">
        <v>4421760728</v>
      </c>
      <c r="F74" s="68">
        <v>8</v>
      </c>
      <c r="G74" s="68">
        <v>10</v>
      </c>
      <c r="H74" s="68">
        <v>7.5</v>
      </c>
      <c r="I74" s="68">
        <v>10</v>
      </c>
      <c r="J74" s="68">
        <v>7.5</v>
      </c>
      <c r="K74" s="68">
        <v>10</v>
      </c>
      <c r="L74" s="68">
        <v>10</v>
      </c>
      <c r="M74" s="68"/>
      <c r="N74" s="68"/>
      <c r="O74" s="68"/>
    </row>
    <row r="75" spans="1:15" ht="12.75">
      <c r="A75" s="68" t="s">
        <v>18</v>
      </c>
      <c r="B75" s="69">
        <v>45455</v>
      </c>
      <c r="C75" s="68" t="s">
        <v>1392</v>
      </c>
      <c r="D75" s="68" t="s">
        <v>43</v>
      </c>
      <c r="E75" s="68">
        <v>4465255301</v>
      </c>
      <c r="F75" s="68">
        <v>1</v>
      </c>
      <c r="G75" s="68">
        <v>5</v>
      </c>
      <c r="H75" s="68">
        <v>2.5</v>
      </c>
      <c r="I75" s="68">
        <v>7.5</v>
      </c>
      <c r="J75" s="68">
        <v>2.5</v>
      </c>
      <c r="K75" s="68">
        <v>5</v>
      </c>
      <c r="L75" s="68">
        <v>2.5</v>
      </c>
      <c r="M75" s="68" t="s">
        <v>1393</v>
      </c>
      <c r="N75" s="68" t="s">
        <v>1394</v>
      </c>
      <c r="O75" s="68"/>
    </row>
    <row r="76" spans="1:15" ht="12.75">
      <c r="A76" s="68" t="s">
        <v>18</v>
      </c>
      <c r="B76" s="69">
        <v>45455</v>
      </c>
      <c r="C76" s="68" t="s">
        <v>1395</v>
      </c>
      <c r="D76" s="68" t="s">
        <v>1396</v>
      </c>
      <c r="E76" s="68">
        <v>4600854874</v>
      </c>
      <c r="F76" s="68">
        <v>10</v>
      </c>
      <c r="G76" s="68">
        <v>10</v>
      </c>
      <c r="H76" s="68">
        <v>10</v>
      </c>
      <c r="I76" s="68">
        <v>10</v>
      </c>
      <c r="J76" s="68">
        <v>10</v>
      </c>
      <c r="K76" s="68">
        <v>10</v>
      </c>
      <c r="L76" s="68">
        <v>10</v>
      </c>
      <c r="M76" s="68"/>
      <c r="N76" s="68"/>
      <c r="O76" s="68"/>
    </row>
    <row r="77" spans="1:15" ht="12.75">
      <c r="A77" s="68" t="s">
        <v>18</v>
      </c>
      <c r="B77" s="69">
        <v>45455</v>
      </c>
      <c r="C77" s="68" t="s">
        <v>1322</v>
      </c>
      <c r="D77" s="68" t="s">
        <v>60</v>
      </c>
      <c r="E77" s="68">
        <v>4700014688</v>
      </c>
      <c r="F77" s="68">
        <v>1</v>
      </c>
      <c r="G77" s="68">
        <v>2.5</v>
      </c>
      <c r="H77" s="68">
        <v>5</v>
      </c>
      <c r="I77" s="68">
        <v>7.5</v>
      </c>
      <c r="J77" s="68">
        <v>2.5</v>
      </c>
      <c r="K77" s="68">
        <v>2.5</v>
      </c>
      <c r="L77" s="68">
        <v>2.5</v>
      </c>
      <c r="M77" s="68" t="s">
        <v>1397</v>
      </c>
      <c r="N77" s="68" t="s">
        <v>1398</v>
      </c>
      <c r="O77" s="68"/>
    </row>
    <row r="78" spans="1:15" ht="12.75">
      <c r="A78" s="68" t="s">
        <v>18</v>
      </c>
      <c r="B78" s="69">
        <v>45456</v>
      </c>
      <c r="C78" s="68" t="s">
        <v>1399</v>
      </c>
      <c r="D78" s="68" t="s">
        <v>259</v>
      </c>
      <c r="E78" s="68">
        <v>4612488188</v>
      </c>
      <c r="F78" s="68">
        <v>5</v>
      </c>
      <c r="G78" s="68">
        <v>5</v>
      </c>
      <c r="H78" s="68">
        <v>5</v>
      </c>
      <c r="I78" s="68">
        <v>10</v>
      </c>
      <c r="J78" s="68">
        <v>5</v>
      </c>
      <c r="K78" s="68">
        <v>7.5</v>
      </c>
      <c r="L78" s="68">
        <v>5</v>
      </c>
      <c r="M78" s="68"/>
      <c r="N78" s="68"/>
      <c r="O78" s="68"/>
    </row>
    <row r="79" spans="1:15" ht="12.75">
      <c r="A79" s="68" t="s">
        <v>18</v>
      </c>
      <c r="B79" s="69">
        <v>45456</v>
      </c>
      <c r="C79" s="68" t="s">
        <v>1400</v>
      </c>
      <c r="D79" s="68" t="s">
        <v>1401</v>
      </c>
      <c r="E79" s="68">
        <v>4091385573</v>
      </c>
      <c r="F79" s="68">
        <v>4</v>
      </c>
      <c r="G79" s="68">
        <v>7.5</v>
      </c>
      <c r="H79" s="68">
        <v>5</v>
      </c>
      <c r="I79" s="68">
        <v>10</v>
      </c>
      <c r="J79" s="68">
        <v>5</v>
      </c>
      <c r="K79" s="68">
        <v>5</v>
      </c>
      <c r="L79" s="68">
        <v>7.5</v>
      </c>
      <c r="M79" s="68" t="s">
        <v>1402</v>
      </c>
      <c r="N79" s="68" t="s">
        <v>1403</v>
      </c>
      <c r="O79" s="68"/>
    </row>
    <row r="80" spans="1:15" ht="12.75">
      <c r="A80" s="68" t="s">
        <v>18</v>
      </c>
      <c r="B80" s="69">
        <v>45457</v>
      </c>
      <c r="C80" s="68" t="s">
        <v>1404</v>
      </c>
      <c r="D80" s="68" t="s">
        <v>105</v>
      </c>
      <c r="E80" s="68">
        <v>4896089055</v>
      </c>
      <c r="F80" s="68">
        <v>7</v>
      </c>
      <c r="G80" s="68">
        <v>7.5</v>
      </c>
      <c r="H80" s="68">
        <v>7.5</v>
      </c>
      <c r="I80" s="68">
        <v>10</v>
      </c>
      <c r="J80" s="68">
        <v>7.5</v>
      </c>
      <c r="K80" s="68">
        <v>7.5</v>
      </c>
      <c r="L80" s="68">
        <v>7.5</v>
      </c>
      <c r="M80" s="68"/>
      <c r="N80" s="68"/>
      <c r="O80" s="68"/>
    </row>
    <row r="81" spans="1:26" ht="12.75">
      <c r="A81" s="68" t="s">
        <v>18</v>
      </c>
      <c r="B81" s="69">
        <v>45457</v>
      </c>
      <c r="C81" s="68" t="s">
        <v>1405</v>
      </c>
      <c r="D81" s="68" t="s">
        <v>25</v>
      </c>
      <c r="E81" s="68">
        <v>4609160261</v>
      </c>
      <c r="F81" s="68">
        <v>1</v>
      </c>
      <c r="G81" s="68">
        <v>5</v>
      </c>
      <c r="H81" s="68">
        <v>2.5</v>
      </c>
      <c r="I81" s="68">
        <v>2.5</v>
      </c>
      <c r="J81" s="68">
        <v>2.5</v>
      </c>
      <c r="K81" s="68">
        <v>2.5</v>
      </c>
      <c r="L81" s="68">
        <v>2.5</v>
      </c>
      <c r="M81" s="68"/>
      <c r="N81" s="68"/>
      <c r="O81" s="68" t="s">
        <v>617</v>
      </c>
    </row>
    <row r="82" spans="1:26" ht="12.75">
      <c r="A82" s="68" t="s">
        <v>18</v>
      </c>
      <c r="B82" s="69">
        <v>45457</v>
      </c>
      <c r="C82" s="68" t="s">
        <v>1406</v>
      </c>
      <c r="D82" s="68" t="s">
        <v>45</v>
      </c>
      <c r="E82" s="68">
        <v>4850248628</v>
      </c>
      <c r="F82" s="68">
        <v>7</v>
      </c>
      <c r="G82" s="68">
        <v>10</v>
      </c>
      <c r="H82" s="68">
        <v>2.5</v>
      </c>
      <c r="I82" s="68">
        <v>10</v>
      </c>
      <c r="J82" s="68">
        <v>2.5</v>
      </c>
      <c r="K82" s="68">
        <v>2.5</v>
      </c>
      <c r="L82" s="68">
        <v>10</v>
      </c>
      <c r="M82" s="68"/>
      <c r="N82" s="68"/>
      <c r="O82" s="68" t="s">
        <v>1407</v>
      </c>
    </row>
    <row r="83" spans="1:26" ht="12.75">
      <c r="A83" s="68" t="s">
        <v>18</v>
      </c>
      <c r="B83" s="69">
        <v>45458</v>
      </c>
      <c r="C83" s="68" t="s">
        <v>1408</v>
      </c>
      <c r="D83" s="68" t="s">
        <v>45</v>
      </c>
      <c r="E83" s="68">
        <v>4365162446</v>
      </c>
      <c r="F83" s="68">
        <v>8</v>
      </c>
      <c r="G83" s="68">
        <v>10</v>
      </c>
      <c r="H83" s="68">
        <v>10</v>
      </c>
      <c r="I83" s="68">
        <v>10</v>
      </c>
      <c r="J83" s="68">
        <v>10</v>
      </c>
      <c r="K83" s="68">
        <v>10</v>
      </c>
      <c r="L83" s="68">
        <v>10</v>
      </c>
      <c r="M83" s="68" t="s">
        <v>1409</v>
      </c>
      <c r="N83" s="68" t="s">
        <v>1410</v>
      </c>
      <c r="O83" s="68"/>
      <c r="P83" s="68"/>
      <c r="Q83" s="68"/>
      <c r="R83" s="68"/>
      <c r="S83" s="68"/>
      <c r="T83" s="68"/>
      <c r="U83" s="68"/>
      <c r="V83" s="68"/>
      <c r="W83" s="68"/>
      <c r="X83" s="68"/>
      <c r="Y83" s="68"/>
      <c r="Z83" s="68"/>
    </row>
    <row r="84" spans="1:26" ht="12.75">
      <c r="A84" s="68" t="s">
        <v>18</v>
      </c>
      <c r="B84" s="69">
        <v>45458</v>
      </c>
      <c r="C84" s="68" t="s">
        <v>1131</v>
      </c>
      <c r="D84" s="68" t="s">
        <v>1132</v>
      </c>
      <c r="E84" s="68">
        <v>4112080693</v>
      </c>
      <c r="F84" s="68">
        <v>2</v>
      </c>
      <c r="G84" s="68">
        <v>2.5</v>
      </c>
      <c r="H84" s="68">
        <v>2.5</v>
      </c>
      <c r="I84" s="68">
        <v>2.5</v>
      </c>
      <c r="J84" s="68">
        <v>2.5</v>
      </c>
      <c r="K84" s="68">
        <v>2.5</v>
      </c>
      <c r="L84" s="68">
        <v>2.5</v>
      </c>
      <c r="M84" s="68"/>
      <c r="N84" s="68"/>
      <c r="O84" s="68" t="s">
        <v>1411</v>
      </c>
      <c r="P84" s="68"/>
      <c r="Q84" s="68"/>
      <c r="R84" s="68"/>
      <c r="S84" s="68"/>
      <c r="T84" s="68"/>
      <c r="U84" s="68"/>
      <c r="V84" s="68"/>
      <c r="W84" s="68"/>
      <c r="X84" s="68"/>
      <c r="Y84" s="68"/>
      <c r="Z84" s="68"/>
    </row>
    <row r="85" spans="1:26" ht="12.75">
      <c r="A85" s="68" t="s">
        <v>18</v>
      </c>
      <c r="B85" s="69">
        <v>45458</v>
      </c>
      <c r="C85" s="68" t="s">
        <v>1412</v>
      </c>
      <c r="D85" s="68" t="s">
        <v>33</v>
      </c>
      <c r="E85" s="68">
        <v>4508116017</v>
      </c>
      <c r="F85" s="68">
        <v>10</v>
      </c>
      <c r="G85" s="68">
        <v>10</v>
      </c>
      <c r="H85" s="68">
        <v>10</v>
      </c>
      <c r="I85" s="68">
        <v>10</v>
      </c>
      <c r="J85" s="68">
        <v>10</v>
      </c>
      <c r="K85" s="68">
        <v>10</v>
      </c>
      <c r="L85" s="68">
        <v>10</v>
      </c>
      <c r="M85" s="68" t="s">
        <v>1413</v>
      </c>
      <c r="N85" s="68"/>
      <c r="O85" s="68"/>
    </row>
    <row r="86" spans="1:26" ht="12.75">
      <c r="A86" s="68" t="s">
        <v>18</v>
      </c>
      <c r="B86" s="69">
        <v>45459</v>
      </c>
      <c r="C86" s="68" t="s">
        <v>1414</v>
      </c>
      <c r="D86" s="68" t="s">
        <v>33</v>
      </c>
      <c r="E86" s="68">
        <v>4390006437</v>
      </c>
      <c r="F86" s="68">
        <v>8</v>
      </c>
      <c r="G86" s="68">
        <v>7.5</v>
      </c>
      <c r="H86" s="68">
        <v>5</v>
      </c>
      <c r="I86" s="68">
        <v>10</v>
      </c>
      <c r="J86" s="68">
        <v>5</v>
      </c>
      <c r="K86" s="68">
        <v>7.5</v>
      </c>
      <c r="L86" s="68">
        <v>5</v>
      </c>
      <c r="M86" s="68"/>
      <c r="N86" s="68"/>
      <c r="O86" s="68" t="s">
        <v>56</v>
      </c>
    </row>
    <row r="87" spans="1:26" ht="12.75">
      <c r="A87" s="68" t="s">
        <v>18</v>
      </c>
      <c r="B87" s="69">
        <v>45459</v>
      </c>
      <c r="C87" s="68" t="s">
        <v>832</v>
      </c>
      <c r="D87" s="68" t="s">
        <v>33</v>
      </c>
      <c r="E87" s="68">
        <v>4976908726</v>
      </c>
      <c r="F87" s="68">
        <v>10</v>
      </c>
      <c r="G87" s="68">
        <v>10</v>
      </c>
      <c r="H87" s="68">
        <v>7.5</v>
      </c>
      <c r="I87" s="68">
        <v>10</v>
      </c>
      <c r="J87" s="68">
        <v>10</v>
      </c>
      <c r="K87" s="68">
        <v>7.5</v>
      </c>
      <c r="L87" s="68">
        <v>7.5</v>
      </c>
      <c r="M87" s="68"/>
      <c r="N87" s="68"/>
      <c r="O87" s="68"/>
    </row>
    <row r="88" spans="1:26" ht="12.75">
      <c r="A88" s="68" t="s">
        <v>18</v>
      </c>
      <c r="B88" s="69">
        <v>45459</v>
      </c>
      <c r="C88" s="68" t="s">
        <v>1415</v>
      </c>
      <c r="D88" s="68" t="s">
        <v>54</v>
      </c>
      <c r="E88" s="68">
        <v>4640584966</v>
      </c>
      <c r="F88" s="68">
        <v>4</v>
      </c>
      <c r="G88" s="68">
        <v>7.5</v>
      </c>
      <c r="H88" s="68">
        <v>7.5</v>
      </c>
      <c r="I88" s="68">
        <v>7.5</v>
      </c>
      <c r="J88" s="68">
        <v>5</v>
      </c>
      <c r="K88" s="68">
        <v>2.5</v>
      </c>
      <c r="L88" s="68">
        <v>5</v>
      </c>
      <c r="M88" s="68" t="s">
        <v>283</v>
      </c>
      <c r="N88" s="68" t="s">
        <v>1416</v>
      </c>
      <c r="O88" s="68" t="s">
        <v>1417</v>
      </c>
    </row>
    <row r="89" spans="1:26" ht="12.75">
      <c r="A89" s="68" t="s">
        <v>18</v>
      </c>
      <c r="B89" s="69">
        <v>45459</v>
      </c>
      <c r="C89" s="68" t="s">
        <v>153</v>
      </c>
      <c r="D89" s="68" t="s">
        <v>36</v>
      </c>
      <c r="E89" s="68">
        <v>4053301312</v>
      </c>
      <c r="F89" s="68">
        <v>8</v>
      </c>
      <c r="G89" s="68">
        <v>7.5</v>
      </c>
      <c r="H89" s="68">
        <v>7.5</v>
      </c>
      <c r="I89" s="68">
        <v>10</v>
      </c>
      <c r="J89" s="68">
        <v>7.5</v>
      </c>
      <c r="K89" s="68">
        <v>7.5</v>
      </c>
      <c r="L89" s="68">
        <v>7.5</v>
      </c>
      <c r="M89" s="68" t="s">
        <v>1418</v>
      </c>
      <c r="N89" s="68" t="s">
        <v>1419</v>
      </c>
      <c r="O89" s="68"/>
    </row>
    <row r="90" spans="1:26" ht="12.75">
      <c r="A90" s="68" t="s">
        <v>18</v>
      </c>
      <c r="B90" s="69">
        <v>45459</v>
      </c>
      <c r="C90" s="68" t="s">
        <v>705</v>
      </c>
      <c r="D90" s="68" t="s">
        <v>93</v>
      </c>
      <c r="E90" s="68">
        <v>4106488816</v>
      </c>
      <c r="F90" s="68">
        <v>5</v>
      </c>
      <c r="G90" s="68">
        <v>10</v>
      </c>
      <c r="H90" s="68">
        <v>5</v>
      </c>
      <c r="I90" s="68">
        <v>10</v>
      </c>
      <c r="J90" s="68">
        <v>7.5</v>
      </c>
      <c r="K90" s="68">
        <v>2.5</v>
      </c>
      <c r="L90" s="68">
        <v>5</v>
      </c>
      <c r="M90" s="68"/>
      <c r="N90" s="68"/>
      <c r="O90" s="68"/>
    </row>
    <row r="91" spans="1:26" ht="12.75">
      <c r="A91" s="68" t="s">
        <v>18</v>
      </c>
      <c r="B91" s="69">
        <v>45459</v>
      </c>
      <c r="C91" s="68" t="s">
        <v>572</v>
      </c>
      <c r="D91" s="68" t="s">
        <v>211</v>
      </c>
      <c r="E91" s="68">
        <v>4365709853</v>
      </c>
      <c r="F91" s="68">
        <v>7</v>
      </c>
      <c r="G91" s="68">
        <v>10</v>
      </c>
      <c r="H91" s="68">
        <v>7.5</v>
      </c>
      <c r="I91" s="68">
        <v>10</v>
      </c>
      <c r="J91" s="68">
        <v>7.5</v>
      </c>
      <c r="K91" s="68">
        <v>5</v>
      </c>
      <c r="L91" s="68">
        <v>10</v>
      </c>
      <c r="M91" s="68" t="s">
        <v>1420</v>
      </c>
      <c r="N91" s="68" t="s">
        <v>1421</v>
      </c>
      <c r="O91" s="68"/>
    </row>
    <row r="92" spans="1:26" ht="12.75">
      <c r="A92" s="68" t="s">
        <v>18</v>
      </c>
      <c r="B92" s="69">
        <v>45459</v>
      </c>
      <c r="C92" s="68" t="s">
        <v>1422</v>
      </c>
      <c r="D92" s="68" t="s">
        <v>148</v>
      </c>
      <c r="E92" s="68">
        <v>4472380898</v>
      </c>
      <c r="F92" s="68">
        <v>3</v>
      </c>
      <c r="G92" s="68">
        <v>7.5</v>
      </c>
      <c r="H92" s="68">
        <v>2.5</v>
      </c>
      <c r="I92" s="68">
        <v>10</v>
      </c>
      <c r="J92" s="68">
        <v>2.5</v>
      </c>
      <c r="K92" s="68">
        <v>5</v>
      </c>
      <c r="L92" s="68">
        <v>2.5</v>
      </c>
      <c r="M92" s="68" t="s">
        <v>1423</v>
      </c>
      <c r="N92" s="68" t="s">
        <v>1424</v>
      </c>
      <c r="O92" s="68"/>
    </row>
    <row r="93" spans="1:26" ht="12.75">
      <c r="A93" s="68" t="s">
        <v>18</v>
      </c>
      <c r="B93" s="69">
        <v>45459</v>
      </c>
      <c r="C93" s="68" t="s">
        <v>1425</v>
      </c>
      <c r="D93" s="68" t="s">
        <v>36</v>
      </c>
      <c r="E93" s="68">
        <v>4353304510</v>
      </c>
      <c r="F93" s="68">
        <v>7</v>
      </c>
      <c r="G93" s="68">
        <v>10</v>
      </c>
      <c r="H93" s="68">
        <v>10</v>
      </c>
      <c r="I93" s="68">
        <v>10</v>
      </c>
      <c r="J93" s="68">
        <v>7.5</v>
      </c>
      <c r="K93" s="68">
        <v>10</v>
      </c>
      <c r="L93" s="68">
        <v>7.5</v>
      </c>
      <c r="M93" s="68"/>
      <c r="N93" s="68"/>
      <c r="O93" s="68"/>
    </row>
    <row r="94" spans="1:26" ht="12.75">
      <c r="A94" s="68" t="s">
        <v>18</v>
      </c>
      <c r="B94" s="69">
        <v>45460</v>
      </c>
      <c r="C94" s="68" t="s">
        <v>1426</v>
      </c>
      <c r="D94" s="68" t="s">
        <v>469</v>
      </c>
      <c r="E94" s="68">
        <v>4278378497</v>
      </c>
      <c r="F94" s="68">
        <v>8</v>
      </c>
      <c r="G94" s="68">
        <v>10</v>
      </c>
      <c r="H94" s="68">
        <v>7.5</v>
      </c>
      <c r="I94" s="68">
        <v>10</v>
      </c>
      <c r="J94" s="68">
        <v>7.5</v>
      </c>
      <c r="K94" s="68">
        <v>7.5</v>
      </c>
      <c r="L94" s="68">
        <v>10</v>
      </c>
      <c r="M94" s="68" t="s">
        <v>1427</v>
      </c>
      <c r="N94" s="68" t="s">
        <v>1428</v>
      </c>
      <c r="O94" s="68"/>
    </row>
    <row r="95" spans="1:26" ht="12.75">
      <c r="A95" s="68" t="s">
        <v>18</v>
      </c>
      <c r="B95" s="69">
        <v>45460</v>
      </c>
      <c r="C95" s="68" t="s">
        <v>1429</v>
      </c>
      <c r="D95" s="68" t="s">
        <v>54</v>
      </c>
      <c r="E95" s="68">
        <v>4450474548</v>
      </c>
      <c r="F95" s="68">
        <v>4</v>
      </c>
      <c r="G95" s="68">
        <v>7.5</v>
      </c>
      <c r="H95" s="68">
        <v>7.5</v>
      </c>
      <c r="I95" s="68">
        <v>7.5</v>
      </c>
      <c r="J95" s="68">
        <v>7.5</v>
      </c>
      <c r="K95" s="68">
        <v>7.5</v>
      </c>
      <c r="L95" s="68">
        <v>7.5</v>
      </c>
      <c r="M95" s="68"/>
      <c r="N95" s="68"/>
      <c r="O95" s="68"/>
    </row>
    <row r="96" spans="1:26" ht="12.75">
      <c r="A96" s="68" t="s">
        <v>18</v>
      </c>
      <c r="B96" s="69">
        <v>45460</v>
      </c>
      <c r="C96" s="68" t="s">
        <v>1430</v>
      </c>
      <c r="D96" s="68" t="s">
        <v>1431</v>
      </c>
      <c r="E96" s="68">
        <v>4873240986</v>
      </c>
      <c r="F96" s="68">
        <v>8</v>
      </c>
      <c r="G96" s="68">
        <v>10</v>
      </c>
      <c r="H96" s="68">
        <v>5</v>
      </c>
      <c r="I96" s="68">
        <v>10</v>
      </c>
      <c r="J96" s="68">
        <v>7.5</v>
      </c>
      <c r="K96" s="68">
        <v>10</v>
      </c>
      <c r="L96" s="68">
        <v>2.5</v>
      </c>
      <c r="M96" s="68"/>
      <c r="N96" s="68"/>
      <c r="O96" s="68"/>
    </row>
    <row r="97" spans="1:26" ht="12.75">
      <c r="A97" s="68" t="s">
        <v>18</v>
      </c>
      <c r="B97" s="69">
        <v>45460</v>
      </c>
      <c r="C97" s="68" t="s">
        <v>158</v>
      </c>
      <c r="D97" s="68" t="s">
        <v>54</v>
      </c>
      <c r="E97" s="68">
        <v>4075595706</v>
      </c>
      <c r="F97" s="68">
        <v>5</v>
      </c>
      <c r="G97" s="68">
        <v>5</v>
      </c>
      <c r="H97" s="68">
        <v>7.5</v>
      </c>
      <c r="I97" s="68">
        <v>10</v>
      </c>
      <c r="J97" s="68">
        <v>5</v>
      </c>
      <c r="K97" s="68">
        <v>5</v>
      </c>
      <c r="L97" s="68">
        <v>5</v>
      </c>
      <c r="M97" s="68" t="s">
        <v>1432</v>
      </c>
      <c r="N97" s="68" t="s">
        <v>1433</v>
      </c>
      <c r="O97" s="68"/>
    </row>
    <row r="98" spans="1:26" ht="12.75">
      <c r="A98" s="68" t="s">
        <v>18</v>
      </c>
      <c r="B98" s="69">
        <v>45460</v>
      </c>
      <c r="C98" s="68" t="s">
        <v>1434</v>
      </c>
      <c r="D98" s="68" t="s">
        <v>1435</v>
      </c>
      <c r="E98" s="68">
        <v>4407261751</v>
      </c>
      <c r="F98" s="68">
        <v>7</v>
      </c>
      <c r="G98" s="68">
        <v>10</v>
      </c>
      <c r="H98" s="68">
        <v>2.5</v>
      </c>
      <c r="I98" s="68">
        <v>10</v>
      </c>
      <c r="J98" s="68">
        <v>7.5</v>
      </c>
      <c r="K98" s="68">
        <v>7.5</v>
      </c>
      <c r="L98" s="68">
        <v>7.5</v>
      </c>
      <c r="M98" s="68"/>
      <c r="N98" s="68"/>
      <c r="O98" s="68"/>
    </row>
    <row r="99" spans="1:26" ht="12.75">
      <c r="A99" s="68" t="s">
        <v>18</v>
      </c>
      <c r="B99" s="69">
        <v>45460</v>
      </c>
      <c r="C99" s="68" t="s">
        <v>1436</v>
      </c>
      <c r="D99" s="68" t="s">
        <v>25</v>
      </c>
      <c r="E99" s="68">
        <v>4582774271</v>
      </c>
      <c r="F99" s="68">
        <v>4</v>
      </c>
      <c r="G99" s="68">
        <v>7.5</v>
      </c>
      <c r="H99" s="68">
        <v>5</v>
      </c>
      <c r="I99" s="68">
        <v>7.5</v>
      </c>
      <c r="J99" s="68">
        <v>5</v>
      </c>
      <c r="K99" s="68">
        <v>5</v>
      </c>
      <c r="L99" s="68">
        <v>2.5</v>
      </c>
      <c r="M99" s="68" t="s">
        <v>1437</v>
      </c>
      <c r="N99" s="68" t="s">
        <v>1438</v>
      </c>
      <c r="O99" s="68"/>
    </row>
    <row r="100" spans="1:26" ht="12.75">
      <c r="A100" s="68" t="s">
        <v>18</v>
      </c>
      <c r="B100" s="69">
        <v>45460</v>
      </c>
      <c r="C100" s="68" t="s">
        <v>776</v>
      </c>
      <c r="D100" s="68" t="s">
        <v>1050</v>
      </c>
      <c r="E100" s="68">
        <v>4443958589</v>
      </c>
      <c r="F100" s="68">
        <v>7</v>
      </c>
      <c r="G100" s="68">
        <v>10</v>
      </c>
      <c r="H100" s="68">
        <v>7.5</v>
      </c>
      <c r="I100" s="68">
        <v>10</v>
      </c>
      <c r="J100" s="68">
        <v>5</v>
      </c>
      <c r="K100" s="68">
        <v>5</v>
      </c>
      <c r="L100" s="68">
        <v>7.5</v>
      </c>
      <c r="M100" s="68" t="s">
        <v>1439</v>
      </c>
      <c r="N100" s="68" t="s">
        <v>1440</v>
      </c>
      <c r="O100" s="68"/>
    </row>
    <row r="101" spans="1:26" ht="12.75">
      <c r="A101" s="68" t="s">
        <v>18</v>
      </c>
      <c r="B101" s="69">
        <v>45460</v>
      </c>
      <c r="C101" s="68" t="s">
        <v>1441</v>
      </c>
      <c r="D101" s="68" t="s">
        <v>148</v>
      </c>
      <c r="E101" s="68">
        <v>4820830375</v>
      </c>
      <c r="F101" s="68">
        <v>7</v>
      </c>
      <c r="G101" s="68">
        <v>7.5</v>
      </c>
      <c r="H101" s="68">
        <v>5</v>
      </c>
      <c r="I101" s="68">
        <v>10</v>
      </c>
      <c r="J101" s="68">
        <v>7.5</v>
      </c>
      <c r="K101" s="68">
        <v>7.5</v>
      </c>
      <c r="L101" s="68">
        <v>7.5</v>
      </c>
      <c r="M101" s="68"/>
      <c r="N101" s="68"/>
      <c r="O101" s="68"/>
    </row>
    <row r="102" spans="1:26" ht="12.75">
      <c r="A102" s="68" t="s">
        <v>18</v>
      </c>
      <c r="B102" s="69">
        <v>45460</v>
      </c>
      <c r="C102" s="68" t="s">
        <v>453</v>
      </c>
      <c r="D102" s="68" t="s">
        <v>60</v>
      </c>
      <c r="E102" s="68">
        <v>4515092987</v>
      </c>
      <c r="F102" s="68">
        <v>8</v>
      </c>
      <c r="G102" s="68">
        <v>7.5</v>
      </c>
      <c r="H102" s="68">
        <v>7.5</v>
      </c>
      <c r="I102" s="68">
        <v>10</v>
      </c>
      <c r="J102" s="68">
        <v>7.5</v>
      </c>
      <c r="K102" s="68">
        <v>10</v>
      </c>
      <c r="L102" s="68">
        <v>7.5</v>
      </c>
      <c r="M102" s="68" t="s">
        <v>1442</v>
      </c>
      <c r="N102" s="68"/>
      <c r="O102" s="68"/>
    </row>
    <row r="103" spans="1:26" ht="12.75">
      <c r="A103" s="68" t="s">
        <v>18</v>
      </c>
      <c r="B103" s="69">
        <v>45460</v>
      </c>
      <c r="C103" s="68" t="s">
        <v>1443</v>
      </c>
      <c r="D103" s="68" t="s">
        <v>36</v>
      </c>
      <c r="E103" s="68">
        <v>4645466198</v>
      </c>
      <c r="F103" s="68">
        <v>10</v>
      </c>
      <c r="G103" s="68">
        <v>10</v>
      </c>
      <c r="H103" s="68">
        <v>10</v>
      </c>
      <c r="I103" s="68">
        <v>10</v>
      </c>
      <c r="J103" s="68">
        <v>10</v>
      </c>
      <c r="K103" s="68">
        <v>10</v>
      </c>
      <c r="L103" s="68">
        <v>10</v>
      </c>
      <c r="M103" s="68"/>
      <c r="N103" s="68"/>
      <c r="O103" s="68"/>
    </row>
    <row r="104" spans="1:26" ht="12.75">
      <c r="A104" s="68" t="s">
        <v>18</v>
      </c>
      <c r="B104" s="69">
        <v>45461</v>
      </c>
      <c r="C104" s="68" t="s">
        <v>1444</v>
      </c>
      <c r="D104" s="68" t="s">
        <v>647</v>
      </c>
      <c r="E104" s="68">
        <v>4999593082</v>
      </c>
      <c r="F104" s="68">
        <v>10</v>
      </c>
      <c r="G104" s="68">
        <v>10</v>
      </c>
      <c r="H104" s="68">
        <v>10</v>
      </c>
      <c r="I104" s="68">
        <v>10</v>
      </c>
      <c r="J104" s="68">
        <v>10</v>
      </c>
      <c r="K104" s="68">
        <v>10</v>
      </c>
      <c r="L104" s="68">
        <v>10</v>
      </c>
      <c r="M104" s="68"/>
      <c r="N104" s="68"/>
      <c r="O104" s="68"/>
    </row>
    <row r="105" spans="1:26" ht="12.75">
      <c r="A105" s="68" t="s">
        <v>18</v>
      </c>
      <c r="B105" s="69">
        <v>45461</v>
      </c>
      <c r="C105" s="68" t="s">
        <v>1445</v>
      </c>
      <c r="D105" s="68" t="s">
        <v>45</v>
      </c>
      <c r="E105" s="68">
        <v>4042210974</v>
      </c>
      <c r="F105" s="68">
        <v>7</v>
      </c>
      <c r="G105" s="68">
        <v>10</v>
      </c>
      <c r="H105" s="68">
        <v>10</v>
      </c>
      <c r="I105" s="68">
        <v>10</v>
      </c>
      <c r="J105" s="68">
        <v>7.5</v>
      </c>
      <c r="K105" s="68">
        <v>7.5</v>
      </c>
      <c r="L105" s="68">
        <v>7.5</v>
      </c>
      <c r="M105" s="68" t="s">
        <v>1446</v>
      </c>
      <c r="N105" s="68" t="s">
        <v>1447</v>
      </c>
      <c r="O105" s="68" t="s">
        <v>1448</v>
      </c>
    </row>
    <row r="106" spans="1:26" ht="12.75">
      <c r="A106" s="68" t="s">
        <v>18</v>
      </c>
      <c r="B106" s="69">
        <v>45461</v>
      </c>
      <c r="C106" s="68" t="s">
        <v>1449</v>
      </c>
      <c r="D106" s="68" t="s">
        <v>45</v>
      </c>
      <c r="E106" s="68">
        <v>4815496454</v>
      </c>
      <c r="F106" s="68">
        <v>2</v>
      </c>
      <c r="G106" s="68">
        <v>5</v>
      </c>
      <c r="H106" s="68">
        <v>2.5</v>
      </c>
      <c r="I106" s="68">
        <v>7.5</v>
      </c>
      <c r="J106" s="68">
        <v>2.5</v>
      </c>
      <c r="K106" s="68">
        <v>2.5</v>
      </c>
      <c r="L106" s="68">
        <v>2.5</v>
      </c>
      <c r="M106" s="68" t="s">
        <v>1450</v>
      </c>
      <c r="N106" s="68" t="s">
        <v>1451</v>
      </c>
      <c r="O106" s="68" t="s">
        <v>413</v>
      </c>
    </row>
    <row r="107" spans="1:26" ht="12.75">
      <c r="A107" s="68" t="s">
        <v>18</v>
      </c>
      <c r="B107" s="69">
        <v>45461</v>
      </c>
      <c r="C107" s="68" t="s">
        <v>1452</v>
      </c>
      <c r="D107" s="68" t="s">
        <v>54</v>
      </c>
      <c r="E107" s="68">
        <v>4765593969</v>
      </c>
      <c r="F107" s="68">
        <v>6</v>
      </c>
      <c r="G107" s="68">
        <v>7.5</v>
      </c>
      <c r="H107" s="68">
        <v>5</v>
      </c>
      <c r="I107" s="68">
        <v>10</v>
      </c>
      <c r="J107" s="68">
        <v>5</v>
      </c>
      <c r="K107" s="68">
        <v>5</v>
      </c>
      <c r="L107" s="68">
        <v>5</v>
      </c>
      <c r="M107" s="68"/>
      <c r="N107" s="68"/>
      <c r="O107" s="68" t="s">
        <v>34</v>
      </c>
    </row>
    <row r="108" spans="1:26" ht="12.75">
      <c r="A108" s="68" t="s">
        <v>18</v>
      </c>
      <c r="B108" s="69">
        <v>45461</v>
      </c>
      <c r="C108" s="68" t="s">
        <v>1453</v>
      </c>
      <c r="D108" s="68" t="s">
        <v>25</v>
      </c>
      <c r="E108" s="68">
        <v>4770585696</v>
      </c>
      <c r="F108" s="68">
        <v>5</v>
      </c>
      <c r="G108" s="68">
        <v>5</v>
      </c>
      <c r="H108" s="68">
        <v>7.5</v>
      </c>
      <c r="I108" s="68">
        <v>10</v>
      </c>
      <c r="J108" s="68">
        <v>7.5</v>
      </c>
      <c r="K108" s="68">
        <v>7.5</v>
      </c>
      <c r="L108" s="68">
        <v>7.5</v>
      </c>
      <c r="M108" s="68" t="s">
        <v>1454</v>
      </c>
      <c r="N108" s="68" t="s">
        <v>1455</v>
      </c>
      <c r="O108" s="68"/>
    </row>
    <row r="109" spans="1:26" ht="12.75">
      <c r="A109" s="68" t="s">
        <v>18</v>
      </c>
      <c r="B109" s="69">
        <v>45461</v>
      </c>
      <c r="C109" s="68" t="s">
        <v>175</v>
      </c>
      <c r="D109" s="68" t="s">
        <v>36</v>
      </c>
      <c r="E109" s="68">
        <v>4007986293</v>
      </c>
      <c r="F109" s="68">
        <v>7</v>
      </c>
      <c r="G109" s="68">
        <v>10</v>
      </c>
      <c r="H109" s="68">
        <v>7.5</v>
      </c>
      <c r="I109" s="68">
        <v>10</v>
      </c>
      <c r="J109" s="68">
        <v>5</v>
      </c>
      <c r="K109" s="68">
        <v>7.5</v>
      </c>
      <c r="L109" s="68">
        <v>7.5</v>
      </c>
      <c r="M109" s="68" t="s">
        <v>1456</v>
      </c>
      <c r="N109" s="68" t="s">
        <v>1457</v>
      </c>
      <c r="O109" s="68"/>
      <c r="P109" s="68"/>
      <c r="Q109" s="68"/>
      <c r="R109" s="68"/>
      <c r="S109" s="68"/>
      <c r="T109" s="68"/>
      <c r="U109" s="68"/>
      <c r="V109" s="68"/>
      <c r="W109" s="68"/>
      <c r="X109" s="68"/>
      <c r="Y109" s="68"/>
      <c r="Z109" s="68"/>
    </row>
    <row r="110" spans="1:26" ht="12.75">
      <c r="A110" s="68" t="s">
        <v>18</v>
      </c>
      <c r="B110" s="69">
        <v>45462</v>
      </c>
      <c r="C110" s="68" t="s">
        <v>1458</v>
      </c>
      <c r="D110" s="68" t="s">
        <v>60</v>
      </c>
      <c r="E110" s="68">
        <v>4384790489</v>
      </c>
      <c r="F110" s="68">
        <v>6</v>
      </c>
      <c r="G110" s="68">
        <v>7.5</v>
      </c>
      <c r="H110" s="68">
        <v>7.5</v>
      </c>
      <c r="I110" s="68">
        <v>10</v>
      </c>
      <c r="J110" s="68">
        <v>5</v>
      </c>
      <c r="K110" s="68">
        <v>5</v>
      </c>
      <c r="L110" s="68">
        <v>7.5</v>
      </c>
      <c r="M110" s="68" t="s">
        <v>1459</v>
      </c>
      <c r="N110" s="68" t="s">
        <v>1460</v>
      </c>
      <c r="O110" s="68"/>
      <c r="P110" s="68"/>
      <c r="Q110" s="68"/>
      <c r="R110" s="68"/>
      <c r="S110" s="68"/>
      <c r="T110" s="68"/>
      <c r="U110" s="68"/>
      <c r="V110" s="68"/>
      <c r="W110" s="68"/>
      <c r="X110" s="68"/>
      <c r="Y110" s="68"/>
      <c r="Z110" s="68"/>
    </row>
    <row r="111" spans="1:26" ht="12.75">
      <c r="A111" s="68" t="s">
        <v>18</v>
      </c>
      <c r="B111" s="69">
        <v>45462</v>
      </c>
      <c r="C111" s="68" t="s">
        <v>1253</v>
      </c>
      <c r="D111" s="68" t="s">
        <v>45</v>
      </c>
      <c r="E111" s="68">
        <v>4485034234</v>
      </c>
      <c r="F111" s="68">
        <v>8.9</v>
      </c>
      <c r="G111" s="68">
        <v>7.5</v>
      </c>
      <c r="H111" s="68">
        <v>7.5</v>
      </c>
      <c r="I111" s="68">
        <v>10</v>
      </c>
      <c r="J111" s="68">
        <v>7.5</v>
      </c>
      <c r="K111" s="68">
        <v>10</v>
      </c>
      <c r="L111" s="68">
        <v>10</v>
      </c>
      <c r="M111" s="68" t="s">
        <v>1461</v>
      </c>
      <c r="N111" s="68"/>
      <c r="O111" s="68"/>
      <c r="P111" s="68"/>
      <c r="Q111" s="68"/>
      <c r="R111" s="68"/>
      <c r="S111" s="68"/>
      <c r="T111" s="68"/>
      <c r="U111" s="68"/>
      <c r="V111" s="68"/>
      <c r="W111" s="68"/>
      <c r="X111" s="68"/>
      <c r="Y111" s="68"/>
      <c r="Z111" s="68"/>
    </row>
    <row r="112" spans="1:26" ht="12.75">
      <c r="A112" s="68" t="s">
        <v>18</v>
      </c>
      <c r="B112" s="69">
        <v>45462</v>
      </c>
      <c r="C112" s="68" t="s">
        <v>1253</v>
      </c>
      <c r="D112" s="68" t="s">
        <v>45</v>
      </c>
      <c r="E112" s="68">
        <v>4498309419</v>
      </c>
      <c r="F112" s="68">
        <v>9.1999999999999993</v>
      </c>
      <c r="G112" s="68">
        <v>10</v>
      </c>
      <c r="H112" s="68">
        <v>7.5</v>
      </c>
      <c r="I112" s="68">
        <v>10</v>
      </c>
      <c r="J112" s="68">
        <v>7.5</v>
      </c>
      <c r="K112" s="68">
        <v>10</v>
      </c>
      <c r="L112" s="68">
        <v>10</v>
      </c>
      <c r="M112" s="68" t="s">
        <v>1462</v>
      </c>
      <c r="N112" s="68" t="s">
        <v>1463</v>
      </c>
      <c r="O112" s="68" t="s">
        <v>1464</v>
      </c>
      <c r="P112" s="68"/>
      <c r="Q112" s="68"/>
      <c r="R112" s="68"/>
      <c r="S112" s="68"/>
      <c r="T112" s="68"/>
      <c r="U112" s="68"/>
      <c r="V112" s="68"/>
      <c r="W112" s="68"/>
      <c r="X112" s="68"/>
      <c r="Y112" s="68"/>
      <c r="Z112" s="68"/>
    </row>
    <row r="113" spans="1:26" ht="12.75">
      <c r="A113" s="68" t="s">
        <v>18</v>
      </c>
      <c r="B113" s="69">
        <v>45462</v>
      </c>
      <c r="C113" s="68" t="s">
        <v>1465</v>
      </c>
      <c r="D113" s="68" t="s">
        <v>60</v>
      </c>
      <c r="E113" s="68">
        <v>4442684860</v>
      </c>
      <c r="F113" s="68"/>
      <c r="G113" s="68"/>
      <c r="H113" s="68"/>
      <c r="I113" s="68"/>
      <c r="J113" s="68"/>
      <c r="K113" s="68"/>
      <c r="L113" s="68"/>
      <c r="M113" s="68"/>
      <c r="N113" s="68"/>
      <c r="O113" s="68"/>
      <c r="P113" s="68"/>
      <c r="Q113" s="68"/>
      <c r="R113" s="68"/>
      <c r="S113" s="68"/>
      <c r="T113" s="68"/>
      <c r="U113" s="68"/>
      <c r="V113" s="68"/>
      <c r="W113" s="68"/>
      <c r="X113" s="68"/>
      <c r="Y113" s="68"/>
      <c r="Z113" s="68"/>
    </row>
    <row r="114" spans="1:26" ht="12.75">
      <c r="A114" s="68" t="s">
        <v>18</v>
      </c>
      <c r="B114" s="69">
        <v>45462</v>
      </c>
      <c r="C114" s="68" t="s">
        <v>1466</v>
      </c>
      <c r="D114" s="68" t="s">
        <v>93</v>
      </c>
      <c r="E114" s="68">
        <v>4388864250</v>
      </c>
      <c r="F114" s="68">
        <v>8.9</v>
      </c>
      <c r="G114" s="68">
        <v>10</v>
      </c>
      <c r="H114" s="68">
        <v>7.5</v>
      </c>
      <c r="I114" s="68">
        <v>10</v>
      </c>
      <c r="J114" s="68">
        <v>7.5</v>
      </c>
      <c r="K114" s="68">
        <v>7.5</v>
      </c>
      <c r="L114" s="68">
        <v>10</v>
      </c>
      <c r="M114" s="68" t="s">
        <v>1467</v>
      </c>
      <c r="N114" s="68"/>
      <c r="O114" s="68" t="s">
        <v>34</v>
      </c>
      <c r="P114" s="68"/>
      <c r="Q114" s="68"/>
      <c r="R114" s="68"/>
      <c r="S114" s="68"/>
      <c r="T114" s="68"/>
      <c r="U114" s="68"/>
      <c r="V114" s="68"/>
      <c r="W114" s="68"/>
      <c r="X114" s="68"/>
      <c r="Y114" s="68"/>
      <c r="Z114" s="68"/>
    </row>
    <row r="115" spans="1:26" ht="12.75">
      <c r="A115" s="68" t="s">
        <v>18</v>
      </c>
      <c r="B115" s="69">
        <v>45462</v>
      </c>
      <c r="C115" s="68" t="s">
        <v>1414</v>
      </c>
      <c r="D115" s="68" t="s">
        <v>118</v>
      </c>
      <c r="E115" s="68">
        <v>4638153306</v>
      </c>
      <c r="F115" s="68">
        <v>10</v>
      </c>
      <c r="G115" s="68">
        <v>10</v>
      </c>
      <c r="H115" s="68">
        <v>10</v>
      </c>
      <c r="I115" s="68">
        <v>10</v>
      </c>
      <c r="J115" s="68">
        <v>10</v>
      </c>
      <c r="K115" s="68">
        <v>10</v>
      </c>
      <c r="L115" s="68">
        <v>10</v>
      </c>
      <c r="M115" s="68"/>
      <c r="N115" s="68"/>
      <c r="O115" s="68" t="s">
        <v>56</v>
      </c>
      <c r="P115" s="68"/>
      <c r="Q115" s="68"/>
      <c r="R115" s="68"/>
      <c r="S115" s="68"/>
      <c r="T115" s="68"/>
      <c r="U115" s="68"/>
      <c r="V115" s="68"/>
      <c r="W115" s="68"/>
      <c r="X115" s="68"/>
      <c r="Y115" s="68"/>
      <c r="Z115" s="68"/>
    </row>
    <row r="116" spans="1:26" ht="12.75">
      <c r="A116" s="68" t="s">
        <v>18</v>
      </c>
      <c r="B116" s="69">
        <v>45463</v>
      </c>
      <c r="C116" s="68" t="s">
        <v>1468</v>
      </c>
      <c r="D116" s="68" t="s">
        <v>171</v>
      </c>
      <c r="E116" s="68">
        <v>4751402174</v>
      </c>
      <c r="F116" s="68">
        <v>9.5</v>
      </c>
      <c r="G116" s="68">
        <v>7.5</v>
      </c>
      <c r="H116" s="68">
        <v>10</v>
      </c>
      <c r="I116" s="68">
        <v>10</v>
      </c>
      <c r="J116" s="68">
        <v>10</v>
      </c>
      <c r="K116" s="68">
        <v>10</v>
      </c>
      <c r="L116" s="68">
        <v>10</v>
      </c>
      <c r="M116" s="68" t="s">
        <v>1469</v>
      </c>
      <c r="N116" s="68" t="s">
        <v>1470</v>
      </c>
      <c r="O116" s="68" t="s">
        <v>1471</v>
      </c>
      <c r="P116" s="68"/>
      <c r="Q116" s="68"/>
      <c r="R116" s="68"/>
      <c r="S116" s="68"/>
      <c r="T116" s="68"/>
      <c r="U116" s="68"/>
      <c r="V116" s="68"/>
      <c r="W116" s="68"/>
      <c r="X116" s="68"/>
      <c r="Y116" s="68"/>
      <c r="Z116" s="68"/>
    </row>
    <row r="117" spans="1:26" ht="12.75">
      <c r="A117" s="68" t="s">
        <v>18</v>
      </c>
      <c r="B117" s="69">
        <v>45463</v>
      </c>
      <c r="C117" s="68" t="s">
        <v>1472</v>
      </c>
      <c r="D117" s="68" t="s">
        <v>148</v>
      </c>
      <c r="E117" s="68">
        <v>4762357465</v>
      </c>
      <c r="F117" s="68">
        <v>4.5</v>
      </c>
      <c r="G117" s="68">
        <v>5</v>
      </c>
      <c r="H117" s="68">
        <v>5</v>
      </c>
      <c r="I117" s="68">
        <v>5</v>
      </c>
      <c r="J117" s="68">
        <v>5</v>
      </c>
      <c r="K117" s="68">
        <v>2.5</v>
      </c>
      <c r="L117" s="68">
        <v>7.5</v>
      </c>
      <c r="M117" s="68"/>
      <c r="N117" s="68" t="s">
        <v>1473</v>
      </c>
      <c r="O117" s="68"/>
      <c r="P117" s="68"/>
      <c r="Q117" s="68"/>
      <c r="R117" s="68"/>
      <c r="S117" s="68"/>
      <c r="T117" s="68"/>
      <c r="U117" s="68"/>
      <c r="V117" s="68"/>
      <c r="W117" s="68"/>
      <c r="X117" s="68"/>
      <c r="Y117" s="68"/>
      <c r="Z117" s="68"/>
    </row>
    <row r="118" spans="1:26" ht="12.75">
      <c r="A118" s="68" t="s">
        <v>18</v>
      </c>
      <c r="B118" s="69">
        <v>45463</v>
      </c>
      <c r="C118" s="68" t="s">
        <v>1004</v>
      </c>
      <c r="D118" s="68" t="s">
        <v>33</v>
      </c>
      <c r="E118" s="68">
        <v>4079986114</v>
      </c>
      <c r="F118" s="68">
        <v>7.9</v>
      </c>
      <c r="G118" s="68">
        <v>7.5</v>
      </c>
      <c r="H118" s="68">
        <v>5</v>
      </c>
      <c r="I118" s="68">
        <v>10</v>
      </c>
      <c r="J118" s="68">
        <v>5</v>
      </c>
      <c r="K118" s="68">
        <v>7.5</v>
      </c>
      <c r="L118" s="68">
        <v>10</v>
      </c>
      <c r="M118" s="68"/>
      <c r="N118" s="68"/>
      <c r="O118" s="68"/>
      <c r="P118" s="68"/>
      <c r="Q118" s="68"/>
      <c r="R118" s="68"/>
      <c r="S118" s="68"/>
      <c r="T118" s="68"/>
      <c r="U118" s="68"/>
      <c r="V118" s="68"/>
      <c r="W118" s="68"/>
      <c r="X118" s="68"/>
      <c r="Y118" s="68"/>
      <c r="Z118" s="68"/>
    </row>
    <row r="119" spans="1:26" ht="12.75">
      <c r="A119" s="68" t="s">
        <v>18</v>
      </c>
      <c r="B119" s="69">
        <v>45463</v>
      </c>
      <c r="C119" s="68" t="s">
        <v>1474</v>
      </c>
      <c r="D119" s="68" t="s">
        <v>25</v>
      </c>
      <c r="E119" s="68">
        <v>4353553957</v>
      </c>
      <c r="F119" s="68">
        <v>4.3</v>
      </c>
      <c r="G119" s="68">
        <v>7.5</v>
      </c>
      <c r="H119" s="68">
        <v>2.5</v>
      </c>
      <c r="I119" s="68">
        <v>10</v>
      </c>
      <c r="J119" s="68">
        <v>2.5</v>
      </c>
      <c r="K119" s="68">
        <v>2.5</v>
      </c>
      <c r="L119" s="68">
        <v>2.5</v>
      </c>
      <c r="M119" s="68"/>
      <c r="N119" s="68" t="s">
        <v>1475</v>
      </c>
      <c r="O119" s="68" t="s">
        <v>1476</v>
      </c>
      <c r="P119" s="68"/>
      <c r="Q119" s="68"/>
      <c r="R119" s="68"/>
      <c r="S119" s="68"/>
      <c r="T119" s="68"/>
      <c r="U119" s="68"/>
      <c r="V119" s="68"/>
      <c r="W119" s="68"/>
      <c r="X119" s="68"/>
      <c r="Y119" s="68"/>
      <c r="Z119" s="68"/>
    </row>
    <row r="120" spans="1:26" ht="12.75">
      <c r="A120" s="68" t="s">
        <v>18</v>
      </c>
      <c r="B120" s="69">
        <v>45463</v>
      </c>
      <c r="C120" s="68" t="s">
        <v>1477</v>
      </c>
      <c r="D120" s="68" t="s">
        <v>36</v>
      </c>
      <c r="E120" s="68">
        <v>4651039745</v>
      </c>
      <c r="F120" s="68">
        <v>6</v>
      </c>
      <c r="G120" s="68">
        <v>7.5</v>
      </c>
      <c r="H120" s="68">
        <v>7.5</v>
      </c>
      <c r="I120" s="68">
        <v>10</v>
      </c>
      <c r="J120" s="68">
        <v>5</v>
      </c>
      <c r="K120" s="68">
        <v>5</v>
      </c>
      <c r="L120" s="68">
        <v>5</v>
      </c>
      <c r="M120" s="68" t="s">
        <v>1478</v>
      </c>
      <c r="N120" s="68" t="s">
        <v>1479</v>
      </c>
      <c r="O120" s="68" t="s">
        <v>34</v>
      </c>
      <c r="P120" s="68"/>
      <c r="Q120" s="68"/>
      <c r="R120" s="68"/>
      <c r="S120" s="68"/>
      <c r="T120" s="68"/>
      <c r="U120" s="68"/>
      <c r="V120" s="68"/>
      <c r="W120" s="68"/>
      <c r="X120" s="68"/>
      <c r="Y120" s="68"/>
      <c r="Z120" s="68"/>
    </row>
    <row r="121" spans="1:26" ht="12.75">
      <c r="A121" s="68" t="s">
        <v>18</v>
      </c>
      <c r="B121" s="69">
        <v>45464</v>
      </c>
      <c r="C121" s="68" t="s">
        <v>1480</v>
      </c>
      <c r="D121" s="68" t="s">
        <v>60</v>
      </c>
      <c r="E121" s="68">
        <v>4772303144</v>
      </c>
      <c r="F121" s="68">
        <v>5</v>
      </c>
      <c r="G121" s="68">
        <v>5</v>
      </c>
      <c r="H121" s="68">
        <v>7.5</v>
      </c>
      <c r="I121" s="68">
        <v>10</v>
      </c>
      <c r="J121" s="68">
        <v>5</v>
      </c>
      <c r="K121" s="68">
        <v>7.5</v>
      </c>
      <c r="L121" s="68">
        <v>7.5</v>
      </c>
      <c r="M121" s="68" t="s">
        <v>1481</v>
      </c>
      <c r="N121" s="68"/>
      <c r="O121" s="68"/>
      <c r="P121" s="68"/>
      <c r="Q121" s="68"/>
      <c r="R121" s="68"/>
      <c r="S121" s="68"/>
      <c r="T121" s="68"/>
      <c r="U121" s="68"/>
      <c r="V121" s="68"/>
      <c r="W121" s="68"/>
      <c r="X121" s="68"/>
      <c r="Y121" s="68"/>
      <c r="Z121" s="68"/>
    </row>
    <row r="122" spans="1:26" ht="12.75">
      <c r="A122" s="68" t="s">
        <v>18</v>
      </c>
      <c r="B122" s="69">
        <v>45464</v>
      </c>
      <c r="C122" s="68" t="s">
        <v>1482</v>
      </c>
      <c r="D122" s="68" t="s">
        <v>43</v>
      </c>
      <c r="E122" s="68">
        <v>4892889047</v>
      </c>
      <c r="F122" s="68">
        <v>8</v>
      </c>
      <c r="G122" s="68">
        <v>10</v>
      </c>
      <c r="H122" s="68">
        <v>7.5</v>
      </c>
      <c r="I122" s="68">
        <v>10</v>
      </c>
      <c r="J122" s="68">
        <v>7.5</v>
      </c>
      <c r="K122" s="68">
        <v>10</v>
      </c>
      <c r="L122" s="68">
        <v>10</v>
      </c>
      <c r="M122" s="68" t="s">
        <v>1483</v>
      </c>
      <c r="N122" s="68" t="s">
        <v>1484</v>
      </c>
      <c r="O122" s="68" t="s">
        <v>1485</v>
      </c>
      <c r="P122" s="68"/>
      <c r="Q122" s="68"/>
      <c r="R122" s="68"/>
      <c r="S122" s="68"/>
      <c r="T122" s="68"/>
      <c r="U122" s="68"/>
      <c r="V122" s="68"/>
      <c r="W122" s="68"/>
      <c r="X122" s="68"/>
      <c r="Y122" s="68"/>
      <c r="Z122" s="68"/>
    </row>
    <row r="123" spans="1:26" ht="12.75">
      <c r="A123" s="68" t="s">
        <v>18</v>
      </c>
      <c r="B123" s="69">
        <v>45464</v>
      </c>
      <c r="C123" s="68" t="s">
        <v>1486</v>
      </c>
      <c r="D123" s="68" t="s">
        <v>54</v>
      </c>
      <c r="E123" s="68">
        <v>4319648070</v>
      </c>
      <c r="F123" s="68">
        <v>7</v>
      </c>
      <c r="G123" s="68">
        <v>7.5</v>
      </c>
      <c r="H123" s="68">
        <v>2.5</v>
      </c>
      <c r="I123" s="68">
        <v>7.5</v>
      </c>
      <c r="J123" s="68">
        <v>5</v>
      </c>
      <c r="K123" s="68">
        <v>5</v>
      </c>
      <c r="L123" s="68">
        <v>7.5</v>
      </c>
      <c r="M123" s="68" t="s">
        <v>1487</v>
      </c>
      <c r="N123" s="68" t="s">
        <v>1488</v>
      </c>
      <c r="O123" s="68" t="s">
        <v>1489</v>
      </c>
      <c r="P123" s="68"/>
      <c r="Q123" s="68"/>
      <c r="R123" s="68"/>
      <c r="S123" s="68"/>
      <c r="T123" s="68"/>
      <c r="U123" s="68"/>
      <c r="V123" s="68"/>
      <c r="W123" s="68"/>
      <c r="X123" s="68"/>
      <c r="Y123" s="68"/>
      <c r="Z123" s="68"/>
    </row>
    <row r="124" spans="1:26" ht="12.75">
      <c r="A124" s="68" t="s">
        <v>18</v>
      </c>
      <c r="B124" s="69">
        <v>45464</v>
      </c>
      <c r="C124" s="68" t="s">
        <v>1490</v>
      </c>
      <c r="D124" s="68" t="s">
        <v>45</v>
      </c>
      <c r="E124" s="68">
        <v>4724491744</v>
      </c>
      <c r="F124" s="68">
        <v>5</v>
      </c>
      <c r="G124" s="68">
        <v>7.5</v>
      </c>
      <c r="H124" s="68"/>
      <c r="I124" s="68">
        <v>10</v>
      </c>
      <c r="J124" s="68">
        <v>2.5</v>
      </c>
      <c r="K124" s="68">
        <v>2.5</v>
      </c>
      <c r="L124" s="68">
        <v>5</v>
      </c>
      <c r="M124" s="68"/>
      <c r="N124" s="68" t="s">
        <v>1491</v>
      </c>
      <c r="O124" s="68" t="s">
        <v>1492</v>
      </c>
      <c r="P124" s="68"/>
      <c r="Q124" s="68"/>
      <c r="R124" s="68"/>
      <c r="S124" s="68"/>
      <c r="T124" s="68"/>
      <c r="U124" s="68"/>
      <c r="V124" s="68"/>
      <c r="W124" s="68"/>
      <c r="X124" s="68"/>
      <c r="Y124" s="68"/>
      <c r="Z124" s="68"/>
    </row>
    <row r="125" spans="1:26" ht="12.75">
      <c r="A125" s="68" t="s">
        <v>18</v>
      </c>
      <c r="B125" s="69">
        <v>45464</v>
      </c>
      <c r="C125" s="68" t="s">
        <v>1493</v>
      </c>
      <c r="D125" s="68" t="s">
        <v>416</v>
      </c>
      <c r="E125" s="68">
        <v>4315909482</v>
      </c>
      <c r="F125" s="68">
        <v>1</v>
      </c>
      <c r="G125" s="68">
        <v>2.5</v>
      </c>
      <c r="H125" s="68">
        <v>2.5</v>
      </c>
      <c r="I125" s="68">
        <v>2.5</v>
      </c>
      <c r="J125" s="68">
        <v>2.5</v>
      </c>
      <c r="K125" s="68">
        <v>2.5</v>
      </c>
      <c r="L125" s="68">
        <v>2.5</v>
      </c>
      <c r="M125" s="68"/>
      <c r="N125" s="68"/>
      <c r="O125" s="68" t="s">
        <v>1494</v>
      </c>
      <c r="P125" s="68"/>
      <c r="Q125" s="68"/>
      <c r="R125" s="68"/>
      <c r="S125" s="68"/>
      <c r="T125" s="68"/>
      <c r="U125" s="68"/>
      <c r="V125" s="68"/>
      <c r="W125" s="68"/>
      <c r="X125" s="68"/>
      <c r="Y125" s="68"/>
      <c r="Z125" s="68"/>
    </row>
    <row r="126" spans="1:26" ht="12.75">
      <c r="A126" s="68" t="s">
        <v>18</v>
      </c>
      <c r="B126" s="69">
        <v>45465</v>
      </c>
      <c r="C126" s="68" t="s">
        <v>1495</v>
      </c>
      <c r="D126" s="68" t="s">
        <v>54</v>
      </c>
      <c r="E126" s="68">
        <v>4734696212</v>
      </c>
      <c r="F126" s="68">
        <v>4</v>
      </c>
      <c r="G126" s="68">
        <v>5</v>
      </c>
      <c r="H126" s="68">
        <v>5</v>
      </c>
      <c r="I126" s="68">
        <v>10</v>
      </c>
      <c r="J126" s="68"/>
      <c r="K126" s="68">
        <v>5</v>
      </c>
      <c r="L126" s="68">
        <v>5</v>
      </c>
      <c r="M126" s="68"/>
      <c r="N126" s="68" t="s">
        <v>1496</v>
      </c>
      <c r="O126" s="68"/>
      <c r="P126" s="68"/>
      <c r="Q126" s="68"/>
      <c r="R126" s="68"/>
      <c r="S126" s="68"/>
      <c r="T126" s="68"/>
      <c r="U126" s="68"/>
      <c r="V126" s="68"/>
      <c r="W126" s="68"/>
      <c r="X126" s="68"/>
      <c r="Y126" s="68"/>
      <c r="Z126" s="68"/>
    </row>
    <row r="127" spans="1:26" ht="12.75">
      <c r="A127" s="68" t="s">
        <v>18</v>
      </c>
      <c r="B127" s="69">
        <v>45465</v>
      </c>
      <c r="C127" s="68" t="s">
        <v>1497</v>
      </c>
      <c r="D127" s="68" t="s">
        <v>20</v>
      </c>
      <c r="E127" s="68">
        <v>4875606402</v>
      </c>
      <c r="F127" s="68">
        <v>9</v>
      </c>
      <c r="G127" s="68">
        <v>10</v>
      </c>
      <c r="H127" s="68">
        <v>10</v>
      </c>
      <c r="I127" s="68">
        <v>10</v>
      </c>
      <c r="J127" s="68">
        <v>10</v>
      </c>
      <c r="K127" s="68">
        <v>10</v>
      </c>
      <c r="L127" s="68">
        <v>10</v>
      </c>
      <c r="M127" s="68"/>
      <c r="N127" s="68"/>
      <c r="O127" s="68"/>
      <c r="P127" s="68"/>
      <c r="Q127" s="68"/>
      <c r="R127" s="68"/>
      <c r="S127" s="68"/>
      <c r="T127" s="68"/>
      <c r="U127" s="68"/>
      <c r="V127" s="68"/>
      <c r="W127" s="68"/>
      <c r="X127" s="68"/>
      <c r="Y127" s="68"/>
      <c r="Z127" s="68"/>
    </row>
    <row r="128" spans="1:26" ht="12.75">
      <c r="A128" s="68" t="s">
        <v>18</v>
      </c>
      <c r="B128" s="69">
        <v>45465</v>
      </c>
      <c r="C128" s="68" t="s">
        <v>1310</v>
      </c>
      <c r="D128" s="68" t="s">
        <v>36</v>
      </c>
      <c r="E128" s="68">
        <v>4778149428</v>
      </c>
      <c r="F128" s="68">
        <v>8</v>
      </c>
      <c r="G128" s="68">
        <v>7.5</v>
      </c>
      <c r="H128" s="68">
        <v>7.5</v>
      </c>
      <c r="I128" s="68">
        <v>10</v>
      </c>
      <c r="J128" s="68">
        <v>10</v>
      </c>
      <c r="K128" s="68">
        <v>7.5</v>
      </c>
      <c r="L128" s="68">
        <v>10</v>
      </c>
      <c r="M128" s="68"/>
      <c r="N128" s="68"/>
      <c r="O128" s="68"/>
      <c r="P128" s="68"/>
      <c r="Q128" s="68"/>
      <c r="R128" s="68"/>
      <c r="S128" s="68"/>
      <c r="T128" s="68"/>
      <c r="U128" s="68"/>
      <c r="V128" s="68"/>
      <c r="W128" s="68"/>
      <c r="X128" s="68"/>
      <c r="Y128" s="68"/>
      <c r="Z128" s="68"/>
    </row>
    <row r="129" spans="1:26" ht="12.75">
      <c r="A129" s="68" t="s">
        <v>18</v>
      </c>
      <c r="B129" s="69">
        <v>45465</v>
      </c>
      <c r="C129" s="68" t="s">
        <v>1292</v>
      </c>
      <c r="D129" s="68" t="s">
        <v>105</v>
      </c>
      <c r="E129" s="68">
        <v>4871850548</v>
      </c>
      <c r="F129" s="68">
        <v>3</v>
      </c>
      <c r="G129" s="68">
        <v>2.5</v>
      </c>
      <c r="H129" s="68">
        <v>2.5</v>
      </c>
      <c r="I129" s="68">
        <v>10</v>
      </c>
      <c r="J129" s="68">
        <v>5</v>
      </c>
      <c r="K129" s="68">
        <v>2.5</v>
      </c>
      <c r="L129" s="68">
        <v>5</v>
      </c>
      <c r="M129" s="68" t="s">
        <v>1498</v>
      </c>
      <c r="N129" s="68" t="s">
        <v>1499</v>
      </c>
      <c r="O129" s="68" t="s">
        <v>1500</v>
      </c>
      <c r="P129" s="68"/>
      <c r="Q129" s="68"/>
      <c r="R129" s="68"/>
      <c r="S129" s="68"/>
      <c r="T129" s="68"/>
      <c r="U129" s="68"/>
      <c r="V129" s="68"/>
      <c r="W129" s="68"/>
      <c r="X129" s="68"/>
      <c r="Y129" s="68"/>
      <c r="Z129" s="68"/>
    </row>
    <row r="130" spans="1:26" ht="12.75">
      <c r="A130" s="68" t="s">
        <v>18</v>
      </c>
      <c r="B130" s="69">
        <v>45465</v>
      </c>
      <c r="C130" s="68" t="s">
        <v>1501</v>
      </c>
      <c r="D130" s="68" t="s">
        <v>60</v>
      </c>
      <c r="E130" s="68">
        <v>4781198348</v>
      </c>
      <c r="F130" s="68">
        <v>7</v>
      </c>
      <c r="G130" s="68">
        <v>7.5</v>
      </c>
      <c r="H130" s="68">
        <v>5</v>
      </c>
      <c r="I130" s="68">
        <v>10</v>
      </c>
      <c r="J130" s="68">
        <v>5</v>
      </c>
      <c r="K130" s="68">
        <v>7.5</v>
      </c>
      <c r="L130" s="68">
        <v>10</v>
      </c>
      <c r="M130" s="68" t="s">
        <v>1502</v>
      </c>
      <c r="N130" s="68" t="s">
        <v>1503</v>
      </c>
      <c r="O130" s="68"/>
      <c r="P130" s="68"/>
      <c r="Q130" s="68"/>
      <c r="R130" s="68"/>
      <c r="S130" s="68"/>
      <c r="T130" s="68"/>
      <c r="U130" s="68"/>
      <c r="V130" s="68"/>
      <c r="W130" s="68"/>
      <c r="X130" s="68"/>
      <c r="Y130" s="68"/>
      <c r="Z130" s="68"/>
    </row>
    <row r="131" spans="1:26" ht="12.75">
      <c r="A131" s="68" t="s">
        <v>18</v>
      </c>
      <c r="B131" s="69">
        <v>45465</v>
      </c>
      <c r="C131" s="68" t="s">
        <v>525</v>
      </c>
      <c r="D131" s="68" t="s">
        <v>416</v>
      </c>
      <c r="E131" s="68">
        <v>4457476058</v>
      </c>
      <c r="F131" s="68">
        <v>3</v>
      </c>
      <c r="G131" s="68">
        <v>7.5</v>
      </c>
      <c r="H131" s="68">
        <v>2.5</v>
      </c>
      <c r="I131" s="68">
        <v>10</v>
      </c>
      <c r="J131" s="68">
        <v>5</v>
      </c>
      <c r="K131" s="68">
        <v>5</v>
      </c>
      <c r="L131" s="68">
        <v>5</v>
      </c>
      <c r="M131" s="68" t="s">
        <v>1504</v>
      </c>
      <c r="N131" s="68" t="s">
        <v>1505</v>
      </c>
      <c r="O131" s="68" t="s">
        <v>285</v>
      </c>
      <c r="P131" s="68"/>
      <c r="Q131" s="68"/>
      <c r="R131" s="68"/>
      <c r="S131" s="68"/>
      <c r="T131" s="68"/>
      <c r="U131" s="68"/>
      <c r="V131" s="68"/>
      <c r="W131" s="68"/>
      <c r="X131" s="68"/>
      <c r="Y131" s="68"/>
      <c r="Z131" s="68"/>
    </row>
    <row r="132" spans="1:26" ht="12.75">
      <c r="A132" s="68" t="s">
        <v>18</v>
      </c>
      <c r="B132" s="69">
        <v>45465</v>
      </c>
      <c r="C132" s="68" t="s">
        <v>1506</v>
      </c>
      <c r="D132" s="68" t="s">
        <v>647</v>
      </c>
      <c r="E132" s="68">
        <v>4315915702</v>
      </c>
      <c r="F132" s="68">
        <v>7</v>
      </c>
      <c r="G132" s="68">
        <v>7.5</v>
      </c>
      <c r="H132" s="68">
        <v>7.5</v>
      </c>
      <c r="I132" s="68">
        <v>10</v>
      </c>
      <c r="J132" s="68">
        <v>7.5</v>
      </c>
      <c r="K132" s="68">
        <v>5</v>
      </c>
      <c r="L132" s="68">
        <v>7.5</v>
      </c>
      <c r="M132" s="68"/>
      <c r="N132" s="68"/>
      <c r="O132" s="68"/>
      <c r="P132" s="68"/>
      <c r="Q132" s="68"/>
      <c r="R132" s="68"/>
      <c r="S132" s="68"/>
      <c r="T132" s="68"/>
      <c r="U132" s="68"/>
      <c r="V132" s="68"/>
      <c r="W132" s="68"/>
      <c r="X132" s="68"/>
      <c r="Y132" s="68"/>
      <c r="Z132" s="68"/>
    </row>
    <row r="133" spans="1:26" ht="12.75">
      <c r="A133" s="68" t="s">
        <v>18</v>
      </c>
      <c r="B133" s="69">
        <v>45466</v>
      </c>
      <c r="C133" s="68" t="s">
        <v>1381</v>
      </c>
      <c r="D133" s="68" t="s">
        <v>134</v>
      </c>
      <c r="E133" s="68">
        <v>4557784545</v>
      </c>
      <c r="F133" s="68">
        <v>9</v>
      </c>
      <c r="G133" s="68">
        <v>10</v>
      </c>
      <c r="H133" s="68">
        <v>7.5</v>
      </c>
      <c r="I133" s="68">
        <v>10</v>
      </c>
      <c r="J133" s="68">
        <v>10</v>
      </c>
      <c r="K133" s="68">
        <v>7.5</v>
      </c>
      <c r="L133" s="68">
        <v>7.5</v>
      </c>
      <c r="M133" s="68" t="s">
        <v>1507</v>
      </c>
      <c r="N133" s="68" t="s">
        <v>1508</v>
      </c>
      <c r="O133" s="68"/>
      <c r="P133" s="68"/>
      <c r="Q133" s="68"/>
      <c r="R133" s="68"/>
      <c r="S133" s="68"/>
      <c r="T133" s="68"/>
      <c r="U133" s="68"/>
      <c r="V133" s="68"/>
      <c r="W133" s="68"/>
      <c r="X133" s="68"/>
      <c r="Y133" s="68"/>
      <c r="Z133" s="68"/>
    </row>
    <row r="134" spans="1:26" ht="12.75">
      <c r="A134" s="68" t="s">
        <v>18</v>
      </c>
      <c r="B134" s="69">
        <v>45466</v>
      </c>
      <c r="C134" s="68" t="s">
        <v>1509</v>
      </c>
      <c r="D134" s="68" t="s">
        <v>43</v>
      </c>
      <c r="E134" s="68">
        <v>4546702638</v>
      </c>
      <c r="F134" s="68">
        <v>8</v>
      </c>
      <c r="G134" s="68">
        <v>7.5</v>
      </c>
      <c r="H134" s="68">
        <v>10</v>
      </c>
      <c r="I134" s="68">
        <v>10</v>
      </c>
      <c r="J134" s="68">
        <v>5</v>
      </c>
      <c r="K134" s="68">
        <v>7.5</v>
      </c>
      <c r="L134" s="68">
        <v>7.5</v>
      </c>
      <c r="M134" s="68" t="s">
        <v>1510</v>
      </c>
      <c r="N134" s="68" t="s">
        <v>1511</v>
      </c>
      <c r="O134" s="68" t="s">
        <v>1512</v>
      </c>
      <c r="P134" s="68"/>
      <c r="Q134" s="68"/>
      <c r="R134" s="68"/>
      <c r="S134" s="68"/>
      <c r="T134" s="68"/>
      <c r="U134" s="68"/>
      <c r="V134" s="68"/>
      <c r="W134" s="68"/>
      <c r="X134" s="68"/>
      <c r="Y134" s="68"/>
      <c r="Z134" s="68"/>
    </row>
    <row r="135" spans="1:26" ht="12.75">
      <c r="A135" s="68" t="s">
        <v>18</v>
      </c>
      <c r="B135" s="69">
        <v>45466</v>
      </c>
      <c r="C135" s="68" t="s">
        <v>1513</v>
      </c>
      <c r="D135" s="68" t="s">
        <v>25</v>
      </c>
      <c r="E135" s="68">
        <v>4853622864</v>
      </c>
      <c r="F135" s="68">
        <v>6</v>
      </c>
      <c r="G135" s="68">
        <v>5</v>
      </c>
      <c r="H135" s="68">
        <v>5</v>
      </c>
      <c r="I135" s="68">
        <v>10</v>
      </c>
      <c r="J135" s="68">
        <v>5</v>
      </c>
      <c r="K135" s="68">
        <v>7.5</v>
      </c>
      <c r="L135" s="68">
        <v>7.5</v>
      </c>
      <c r="M135" s="68"/>
      <c r="N135" s="68"/>
      <c r="O135" s="68"/>
      <c r="P135" s="68"/>
      <c r="Q135" s="68"/>
      <c r="R135" s="68"/>
      <c r="S135" s="68"/>
      <c r="T135" s="68"/>
      <c r="U135" s="68"/>
      <c r="V135" s="68"/>
      <c r="W135" s="68"/>
      <c r="X135" s="68"/>
      <c r="Y135" s="68"/>
      <c r="Z135" s="68"/>
    </row>
    <row r="136" spans="1:26" ht="12.75">
      <c r="A136" s="68" t="s">
        <v>18</v>
      </c>
      <c r="B136" s="69">
        <v>45466</v>
      </c>
      <c r="C136" s="68" t="s">
        <v>1514</v>
      </c>
      <c r="D136" s="68" t="s">
        <v>1515</v>
      </c>
      <c r="E136" s="68">
        <v>4565917136</v>
      </c>
      <c r="F136" s="68">
        <v>8</v>
      </c>
      <c r="G136" s="68">
        <v>10</v>
      </c>
      <c r="H136" s="68">
        <v>7.5</v>
      </c>
      <c r="I136" s="68">
        <v>10</v>
      </c>
      <c r="J136" s="68">
        <v>7.5</v>
      </c>
      <c r="K136" s="68">
        <v>7.5</v>
      </c>
      <c r="L136" s="68">
        <v>7.5</v>
      </c>
      <c r="M136" s="68"/>
      <c r="N136" s="68"/>
      <c r="O136" s="68"/>
      <c r="P136" s="68"/>
      <c r="Q136" s="68"/>
      <c r="R136" s="68"/>
      <c r="S136" s="68"/>
      <c r="T136" s="68"/>
      <c r="U136" s="68"/>
      <c r="V136" s="68"/>
      <c r="W136" s="68"/>
      <c r="X136" s="68"/>
      <c r="Y136" s="68"/>
      <c r="Z136" s="68"/>
    </row>
    <row r="137" spans="1:26" ht="12.75">
      <c r="A137" s="68" t="s">
        <v>18</v>
      </c>
      <c r="B137" s="69">
        <v>45466</v>
      </c>
      <c r="C137" s="68" t="s">
        <v>569</v>
      </c>
      <c r="D137" s="68" t="s">
        <v>36</v>
      </c>
      <c r="E137" s="68">
        <v>4167775377</v>
      </c>
      <c r="F137" s="68">
        <v>7</v>
      </c>
      <c r="G137" s="68">
        <v>7.5</v>
      </c>
      <c r="H137" s="68">
        <v>7.5</v>
      </c>
      <c r="I137" s="68">
        <v>10</v>
      </c>
      <c r="J137" s="68">
        <v>5</v>
      </c>
      <c r="K137" s="68">
        <v>5</v>
      </c>
      <c r="L137" s="68">
        <v>7.5</v>
      </c>
      <c r="M137" s="68" t="s">
        <v>1516</v>
      </c>
      <c r="N137" s="68" t="s">
        <v>1517</v>
      </c>
      <c r="O137" s="68"/>
      <c r="P137" s="68"/>
      <c r="Q137" s="68"/>
      <c r="R137" s="68"/>
      <c r="S137" s="68"/>
      <c r="T137" s="68"/>
      <c r="U137" s="68"/>
      <c r="V137" s="68"/>
      <c r="W137" s="68"/>
      <c r="X137" s="68"/>
      <c r="Y137" s="68"/>
      <c r="Z137" s="68"/>
    </row>
    <row r="138" spans="1:26" ht="12.75">
      <c r="A138" s="68" t="s">
        <v>18</v>
      </c>
      <c r="B138" s="69">
        <v>45466</v>
      </c>
      <c r="C138" s="68" t="s">
        <v>1518</v>
      </c>
      <c r="D138" s="68" t="s">
        <v>123</v>
      </c>
      <c r="E138" s="68">
        <v>4471360600</v>
      </c>
      <c r="F138" s="68">
        <v>7</v>
      </c>
      <c r="G138" s="68">
        <v>7.5</v>
      </c>
      <c r="H138" s="68">
        <v>10</v>
      </c>
      <c r="I138" s="68">
        <v>10</v>
      </c>
      <c r="J138" s="68">
        <v>5</v>
      </c>
      <c r="K138" s="68">
        <v>7.5</v>
      </c>
      <c r="L138" s="68">
        <v>7.5</v>
      </c>
      <c r="M138" s="68" t="s">
        <v>1519</v>
      </c>
      <c r="N138" s="68" t="s">
        <v>1520</v>
      </c>
      <c r="O138" s="68" t="s">
        <v>1521</v>
      </c>
      <c r="P138" s="68"/>
      <c r="Q138" s="68"/>
      <c r="R138" s="68"/>
      <c r="S138" s="68"/>
      <c r="T138" s="68"/>
      <c r="U138" s="68"/>
      <c r="V138" s="68"/>
      <c r="W138" s="68"/>
      <c r="X138" s="68"/>
      <c r="Y138" s="68"/>
      <c r="Z138" s="68"/>
    </row>
    <row r="139" spans="1:26" ht="12.75">
      <c r="A139" s="68" t="s">
        <v>18</v>
      </c>
      <c r="B139" s="69">
        <v>45467</v>
      </c>
      <c r="C139" s="68" t="s">
        <v>44</v>
      </c>
      <c r="D139" s="68" t="s">
        <v>45</v>
      </c>
      <c r="E139" s="68">
        <v>4937665740</v>
      </c>
      <c r="F139" s="68">
        <v>8</v>
      </c>
      <c r="G139" s="68">
        <v>10</v>
      </c>
      <c r="H139" s="68">
        <v>7.5</v>
      </c>
      <c r="I139" s="68">
        <v>10</v>
      </c>
      <c r="J139" s="68">
        <v>7.5</v>
      </c>
      <c r="K139" s="68">
        <v>7.5</v>
      </c>
      <c r="L139" s="68">
        <v>7.5</v>
      </c>
      <c r="M139" s="68" t="s">
        <v>1522</v>
      </c>
      <c r="N139" s="68" t="s">
        <v>1523</v>
      </c>
      <c r="O139" s="68" t="s">
        <v>1524</v>
      </c>
      <c r="P139" s="68"/>
      <c r="Q139" s="68"/>
      <c r="R139" s="68"/>
      <c r="S139" s="68"/>
      <c r="T139" s="68"/>
      <c r="U139" s="68"/>
      <c r="V139" s="68"/>
      <c r="W139" s="68"/>
      <c r="X139" s="68"/>
      <c r="Y139" s="68"/>
      <c r="Z139" s="68"/>
    </row>
    <row r="140" spans="1:26" ht="12.75">
      <c r="A140" s="68" t="s">
        <v>18</v>
      </c>
      <c r="B140" s="69">
        <v>45467</v>
      </c>
      <c r="C140" s="68" t="s">
        <v>1525</v>
      </c>
      <c r="D140" s="68" t="s">
        <v>25</v>
      </c>
      <c r="E140" s="68">
        <v>4072706800</v>
      </c>
      <c r="F140" s="68">
        <v>8</v>
      </c>
      <c r="G140" s="68">
        <v>10</v>
      </c>
      <c r="H140" s="68">
        <v>7.5</v>
      </c>
      <c r="I140" s="68">
        <v>10</v>
      </c>
      <c r="J140" s="68">
        <v>7.5</v>
      </c>
      <c r="K140" s="68">
        <v>7.5</v>
      </c>
      <c r="L140" s="68">
        <v>7.5</v>
      </c>
      <c r="M140" s="68"/>
      <c r="N140" s="68" t="s">
        <v>1526</v>
      </c>
      <c r="O140" s="68" t="s">
        <v>1527</v>
      </c>
      <c r="P140" s="68"/>
      <c r="Q140" s="68"/>
      <c r="R140" s="68"/>
      <c r="S140" s="68"/>
      <c r="T140" s="68"/>
      <c r="U140" s="68"/>
      <c r="V140" s="68"/>
      <c r="W140" s="68"/>
      <c r="X140" s="68"/>
      <c r="Y140" s="68"/>
      <c r="Z140" s="68"/>
    </row>
    <row r="141" spans="1:26" ht="12.75">
      <c r="A141" s="68" t="s">
        <v>18</v>
      </c>
      <c r="B141" s="69">
        <v>45467</v>
      </c>
      <c r="C141" s="68" t="s">
        <v>1528</v>
      </c>
      <c r="D141" s="68" t="s">
        <v>595</v>
      </c>
      <c r="E141" s="68">
        <v>4212311000</v>
      </c>
      <c r="F141" s="68">
        <v>9</v>
      </c>
      <c r="G141" s="68">
        <v>10</v>
      </c>
      <c r="H141" s="68">
        <v>7.5</v>
      </c>
      <c r="I141" s="68">
        <v>10</v>
      </c>
      <c r="J141" s="68">
        <v>10</v>
      </c>
      <c r="K141" s="68">
        <v>10</v>
      </c>
      <c r="L141" s="68">
        <v>10</v>
      </c>
      <c r="M141" s="68" t="s">
        <v>1529</v>
      </c>
      <c r="N141" s="68" t="s">
        <v>1530</v>
      </c>
      <c r="O141" s="68"/>
      <c r="P141" s="68"/>
      <c r="Q141" s="68"/>
      <c r="R141" s="68"/>
      <c r="S141" s="68"/>
      <c r="T141" s="68"/>
      <c r="U141" s="68"/>
      <c r="V141" s="68"/>
      <c r="W141" s="68"/>
      <c r="X141" s="68"/>
      <c r="Y141" s="68"/>
      <c r="Z141" s="68"/>
    </row>
    <row r="142" spans="1:26" ht="12.75">
      <c r="A142" s="68" t="s">
        <v>18</v>
      </c>
      <c r="B142" s="69">
        <v>45467</v>
      </c>
      <c r="C142" s="68" t="s">
        <v>1531</v>
      </c>
      <c r="D142" s="68" t="s">
        <v>36</v>
      </c>
      <c r="E142" s="68">
        <v>4331804893</v>
      </c>
      <c r="F142" s="68">
        <v>9</v>
      </c>
      <c r="G142" s="68">
        <v>10</v>
      </c>
      <c r="H142" s="68">
        <v>7.5</v>
      </c>
      <c r="I142" s="68">
        <v>10</v>
      </c>
      <c r="J142" s="68">
        <v>7.5</v>
      </c>
      <c r="K142" s="68">
        <v>10</v>
      </c>
      <c r="L142" s="68">
        <v>10</v>
      </c>
      <c r="M142" s="68" t="s">
        <v>1532</v>
      </c>
      <c r="N142" s="68" t="s">
        <v>1533</v>
      </c>
      <c r="O142" s="68"/>
      <c r="P142" s="68"/>
      <c r="Q142" s="68"/>
      <c r="R142" s="68"/>
      <c r="S142" s="68"/>
      <c r="T142" s="68"/>
      <c r="U142" s="68"/>
      <c r="V142" s="68"/>
      <c r="W142" s="68"/>
      <c r="X142" s="68"/>
      <c r="Y142" s="68"/>
      <c r="Z142" s="68"/>
    </row>
    <row r="143" spans="1:26" ht="12.75">
      <c r="A143" s="68" t="s">
        <v>18</v>
      </c>
      <c r="B143" s="69">
        <v>45467</v>
      </c>
      <c r="C143" s="68" t="s">
        <v>44</v>
      </c>
      <c r="D143" s="68" t="s">
        <v>45</v>
      </c>
      <c r="E143" s="68">
        <v>4937665740</v>
      </c>
      <c r="F143" s="68">
        <v>8</v>
      </c>
      <c r="G143" s="68">
        <v>10</v>
      </c>
      <c r="H143" s="68">
        <v>7.5</v>
      </c>
      <c r="I143" s="68">
        <v>10</v>
      </c>
      <c r="J143" s="68">
        <v>7.5</v>
      </c>
      <c r="K143" s="68">
        <v>7.5</v>
      </c>
      <c r="L143" s="68">
        <v>7.5</v>
      </c>
      <c r="M143" s="68" t="s">
        <v>1522</v>
      </c>
      <c r="N143" s="68" t="s">
        <v>1523</v>
      </c>
      <c r="O143" s="68"/>
      <c r="P143" s="68"/>
      <c r="Q143" s="68"/>
      <c r="R143" s="68"/>
      <c r="S143" s="68"/>
      <c r="T143" s="68"/>
      <c r="U143" s="68"/>
      <c r="V143" s="68"/>
      <c r="W143" s="68"/>
      <c r="X143" s="68"/>
      <c r="Y143" s="68"/>
      <c r="Z143" s="68"/>
    </row>
    <row r="144" spans="1:26" ht="12.75">
      <c r="A144" s="68" t="s">
        <v>18</v>
      </c>
      <c r="B144" s="69">
        <v>45468</v>
      </c>
      <c r="C144" s="68" t="s">
        <v>1534</v>
      </c>
      <c r="D144" s="68" t="s">
        <v>25</v>
      </c>
      <c r="E144" s="68">
        <v>4297754327</v>
      </c>
      <c r="F144" s="68">
        <v>9</v>
      </c>
      <c r="G144" s="68">
        <v>10</v>
      </c>
      <c r="H144" s="68">
        <v>7.5</v>
      </c>
      <c r="I144" s="68">
        <v>10</v>
      </c>
      <c r="J144" s="68">
        <v>7.5</v>
      </c>
      <c r="K144" s="68">
        <v>7.5</v>
      </c>
      <c r="L144" s="68">
        <v>7.5</v>
      </c>
      <c r="M144" s="68"/>
      <c r="N144" s="68"/>
      <c r="O144" s="68"/>
      <c r="P144" s="68"/>
      <c r="Q144" s="68"/>
      <c r="R144" s="68"/>
      <c r="S144" s="68"/>
      <c r="T144" s="68"/>
      <c r="U144" s="68"/>
      <c r="V144" s="68"/>
      <c r="W144" s="68"/>
      <c r="X144" s="68"/>
      <c r="Y144" s="68"/>
      <c r="Z144" s="68"/>
    </row>
    <row r="145" spans="1:26" ht="12.75">
      <c r="A145" s="68" t="s">
        <v>18</v>
      </c>
      <c r="B145" s="69">
        <v>45468</v>
      </c>
      <c r="C145" s="68" t="s">
        <v>1535</v>
      </c>
      <c r="D145" s="68" t="s">
        <v>25</v>
      </c>
      <c r="E145" s="68">
        <v>4331334728</v>
      </c>
      <c r="F145" s="68">
        <v>7</v>
      </c>
      <c r="G145" s="68">
        <v>10</v>
      </c>
      <c r="H145" s="68">
        <v>10</v>
      </c>
      <c r="I145" s="68">
        <v>10</v>
      </c>
      <c r="J145" s="68">
        <v>7.5</v>
      </c>
      <c r="K145" s="68">
        <v>7.5</v>
      </c>
      <c r="L145" s="68">
        <v>10</v>
      </c>
      <c r="M145" s="68" t="s">
        <v>1536</v>
      </c>
      <c r="N145" s="68" t="s">
        <v>1537</v>
      </c>
      <c r="O145" s="68" t="s">
        <v>1538</v>
      </c>
      <c r="P145" s="68"/>
      <c r="Q145" s="68"/>
      <c r="R145" s="68"/>
      <c r="S145" s="68"/>
      <c r="T145" s="68"/>
      <c r="U145" s="68"/>
      <c r="V145" s="68"/>
      <c r="W145" s="68"/>
      <c r="X145" s="68"/>
      <c r="Y145" s="68"/>
      <c r="Z145" s="68"/>
    </row>
    <row r="146" spans="1:26" ht="12.75">
      <c r="A146" s="68" t="s">
        <v>18</v>
      </c>
      <c r="B146" s="69">
        <v>45468</v>
      </c>
      <c r="C146" s="68" t="s">
        <v>1539</v>
      </c>
      <c r="D146" s="68" t="s">
        <v>148</v>
      </c>
      <c r="E146" s="68">
        <v>4578150209</v>
      </c>
      <c r="F146" s="68">
        <v>7</v>
      </c>
      <c r="G146" s="68">
        <v>10</v>
      </c>
      <c r="H146" s="68">
        <v>7.5</v>
      </c>
      <c r="I146" s="68">
        <v>10</v>
      </c>
      <c r="J146" s="68">
        <v>7.5</v>
      </c>
      <c r="K146" s="68">
        <v>7.5</v>
      </c>
      <c r="L146" s="68">
        <v>10</v>
      </c>
      <c r="M146" s="68"/>
      <c r="N146" s="68"/>
      <c r="O146" s="68"/>
      <c r="P146" s="68"/>
      <c r="Q146" s="68"/>
      <c r="R146" s="68"/>
      <c r="S146" s="68"/>
      <c r="T146" s="68"/>
      <c r="U146" s="68"/>
      <c r="V146" s="68"/>
      <c r="W146" s="68"/>
      <c r="X146" s="68"/>
      <c r="Y146" s="68"/>
      <c r="Z146" s="68"/>
    </row>
    <row r="147" spans="1:26" ht="12.75">
      <c r="A147" s="68" t="s">
        <v>18</v>
      </c>
      <c r="B147" s="69">
        <v>45468</v>
      </c>
      <c r="C147" s="68" t="s">
        <v>1540</v>
      </c>
      <c r="D147" s="68" t="s">
        <v>134</v>
      </c>
      <c r="E147" s="68">
        <v>4950102870</v>
      </c>
      <c r="F147" s="68">
        <v>8</v>
      </c>
      <c r="G147" s="68">
        <v>10</v>
      </c>
      <c r="H147" s="68">
        <v>7.5</v>
      </c>
      <c r="I147" s="68">
        <v>10</v>
      </c>
      <c r="J147" s="68">
        <v>7.5</v>
      </c>
      <c r="K147" s="68">
        <v>5</v>
      </c>
      <c r="L147" s="68">
        <v>7.5</v>
      </c>
      <c r="M147" s="68"/>
      <c r="N147" s="68"/>
      <c r="O147" s="68"/>
      <c r="P147" s="68"/>
      <c r="Q147" s="68"/>
      <c r="R147" s="68"/>
      <c r="S147" s="68"/>
      <c r="T147" s="68"/>
      <c r="U147" s="68"/>
      <c r="V147" s="68"/>
      <c r="W147" s="68"/>
      <c r="X147" s="68"/>
      <c r="Y147" s="68"/>
      <c r="Z147" s="68"/>
    </row>
    <row r="148" spans="1:26" ht="12.75">
      <c r="A148" s="68" t="s">
        <v>18</v>
      </c>
      <c r="B148" s="69">
        <v>45468</v>
      </c>
      <c r="C148" s="68" t="s">
        <v>1541</v>
      </c>
      <c r="D148" s="68" t="s">
        <v>171</v>
      </c>
      <c r="E148" s="68">
        <v>4523626650</v>
      </c>
      <c r="F148" s="68">
        <v>3</v>
      </c>
      <c r="G148" s="68">
        <v>7.5</v>
      </c>
      <c r="H148" s="68">
        <v>7.5</v>
      </c>
      <c r="I148" s="68">
        <v>10</v>
      </c>
      <c r="J148" s="68">
        <v>2.5</v>
      </c>
      <c r="K148" s="68">
        <v>2.5</v>
      </c>
      <c r="L148" s="68">
        <v>2.5</v>
      </c>
      <c r="M148" s="68"/>
      <c r="N148" s="68" t="s">
        <v>1542</v>
      </c>
      <c r="O148" s="68" t="s">
        <v>1543</v>
      </c>
      <c r="P148" s="68"/>
      <c r="Q148" s="68"/>
      <c r="R148" s="68"/>
      <c r="S148" s="68"/>
      <c r="T148" s="68"/>
      <c r="U148" s="68"/>
      <c r="V148" s="68"/>
      <c r="W148" s="68"/>
      <c r="X148" s="68"/>
      <c r="Y148" s="68"/>
      <c r="Z148" s="68"/>
    </row>
    <row r="149" spans="1:26" ht="12.75">
      <c r="A149" s="68" t="s">
        <v>18</v>
      </c>
      <c r="B149" s="69">
        <v>45468</v>
      </c>
      <c r="C149" s="68" t="s">
        <v>1544</v>
      </c>
      <c r="D149" s="68" t="s">
        <v>36</v>
      </c>
      <c r="E149" s="68">
        <v>4604621546</v>
      </c>
      <c r="F149" s="68">
        <v>10</v>
      </c>
      <c r="G149" s="68">
        <v>10</v>
      </c>
      <c r="H149" s="68">
        <v>10</v>
      </c>
      <c r="I149" s="68">
        <v>10</v>
      </c>
      <c r="J149" s="68">
        <v>10</v>
      </c>
      <c r="K149" s="68">
        <v>10</v>
      </c>
      <c r="L149" s="68">
        <v>10</v>
      </c>
      <c r="M149" s="68"/>
      <c r="N149" s="68"/>
      <c r="O149" s="68"/>
      <c r="P149" s="68"/>
      <c r="Q149" s="68"/>
      <c r="R149" s="68"/>
      <c r="S149" s="68"/>
      <c r="T149" s="68"/>
      <c r="U149" s="68"/>
      <c r="V149" s="68"/>
      <c r="W149" s="68"/>
      <c r="X149" s="68"/>
      <c r="Y149" s="68"/>
      <c r="Z149" s="68"/>
    </row>
    <row r="150" spans="1:26" ht="12.75">
      <c r="A150" s="68" t="s">
        <v>18</v>
      </c>
      <c r="B150" s="69">
        <v>45468</v>
      </c>
      <c r="C150" s="68" t="s">
        <v>1545</v>
      </c>
      <c r="D150" s="68" t="s">
        <v>148</v>
      </c>
      <c r="E150" s="68">
        <v>4349673255</v>
      </c>
      <c r="F150" s="68">
        <v>8</v>
      </c>
      <c r="G150" s="68">
        <v>10</v>
      </c>
      <c r="H150" s="68">
        <v>10</v>
      </c>
      <c r="I150" s="68">
        <v>10</v>
      </c>
      <c r="J150" s="68">
        <v>10</v>
      </c>
      <c r="K150" s="68">
        <v>2.5</v>
      </c>
      <c r="L150" s="68">
        <v>10</v>
      </c>
      <c r="M150" s="68" t="s">
        <v>1546</v>
      </c>
      <c r="N150" s="68" t="s">
        <v>1547</v>
      </c>
      <c r="O150" s="68" t="s">
        <v>1548</v>
      </c>
    </row>
    <row r="151" spans="1:26" ht="12.75">
      <c r="A151" s="68" t="s">
        <v>18</v>
      </c>
      <c r="B151" s="69">
        <v>45468</v>
      </c>
      <c r="C151" s="68" t="s">
        <v>1549</v>
      </c>
      <c r="D151" s="68" t="s">
        <v>317</v>
      </c>
      <c r="E151" s="68">
        <v>4348309374</v>
      </c>
      <c r="F151" s="68">
        <v>10</v>
      </c>
      <c r="G151" s="68">
        <v>10</v>
      </c>
      <c r="H151" s="68">
        <v>10</v>
      </c>
      <c r="I151" s="68">
        <v>10</v>
      </c>
      <c r="J151" s="68">
        <v>10</v>
      </c>
      <c r="K151" s="68">
        <v>10</v>
      </c>
      <c r="L151" s="68">
        <v>10</v>
      </c>
      <c r="M151" s="68"/>
      <c r="N151" s="68"/>
      <c r="O151" s="68"/>
    </row>
    <row r="152" spans="1:26" ht="12.75">
      <c r="A152" s="68" t="s">
        <v>18</v>
      </c>
      <c r="B152" s="69">
        <v>45468</v>
      </c>
      <c r="C152" s="68" t="s">
        <v>1550</v>
      </c>
      <c r="D152" s="68" t="s">
        <v>36</v>
      </c>
      <c r="E152" s="68">
        <v>4920857613</v>
      </c>
      <c r="F152" s="68">
        <v>7</v>
      </c>
      <c r="G152" s="68">
        <v>7.5</v>
      </c>
      <c r="H152" s="68">
        <v>5</v>
      </c>
      <c r="I152" s="68">
        <v>10</v>
      </c>
      <c r="J152" s="68">
        <v>7.5</v>
      </c>
      <c r="K152" s="68">
        <v>7.5</v>
      </c>
      <c r="L152" s="68">
        <v>7.5</v>
      </c>
      <c r="M152" s="68"/>
      <c r="N152" s="68"/>
      <c r="O152" s="68"/>
    </row>
    <row r="153" spans="1:26" ht="12.75">
      <c r="A153" s="68" t="s">
        <v>18</v>
      </c>
      <c r="B153" s="69">
        <v>45468</v>
      </c>
      <c r="C153" s="68" t="s">
        <v>1551</v>
      </c>
      <c r="D153" s="68" t="s">
        <v>58</v>
      </c>
      <c r="E153" s="68">
        <v>4917744239</v>
      </c>
      <c r="F153" s="68">
        <v>8</v>
      </c>
      <c r="G153" s="68">
        <v>7.5</v>
      </c>
      <c r="H153" s="68">
        <v>7.5</v>
      </c>
      <c r="I153" s="68">
        <v>7.5</v>
      </c>
      <c r="J153" s="68">
        <v>7.5</v>
      </c>
      <c r="K153" s="68">
        <v>7.5</v>
      </c>
      <c r="L153" s="68">
        <v>7.5</v>
      </c>
      <c r="M153" s="68" t="s">
        <v>1552</v>
      </c>
      <c r="N153" s="68"/>
      <c r="O153" s="68"/>
    </row>
    <row r="154" spans="1:26" ht="12.75">
      <c r="A154" s="68" t="s">
        <v>18</v>
      </c>
      <c r="B154" s="69">
        <v>45468</v>
      </c>
      <c r="C154" s="68" t="s">
        <v>1553</v>
      </c>
      <c r="D154" s="68" t="s">
        <v>25</v>
      </c>
      <c r="E154" s="68">
        <v>4463898329</v>
      </c>
      <c r="F154" s="68">
        <v>7</v>
      </c>
      <c r="G154" s="68">
        <v>7.5</v>
      </c>
      <c r="H154" s="68">
        <v>7.5</v>
      </c>
      <c r="I154" s="68">
        <v>7.5</v>
      </c>
      <c r="J154" s="68">
        <v>7.5</v>
      </c>
      <c r="K154" s="68">
        <v>7.5</v>
      </c>
      <c r="L154" s="68">
        <v>7.5</v>
      </c>
      <c r="M154" s="68"/>
      <c r="N154" s="68"/>
      <c r="O154" s="68"/>
    </row>
    <row r="155" spans="1:26" ht="12.75">
      <c r="A155" s="68" t="s">
        <v>18</v>
      </c>
      <c r="B155" s="69">
        <v>45469</v>
      </c>
      <c r="C155" s="68" t="s">
        <v>1554</v>
      </c>
      <c r="D155" s="68" t="s">
        <v>28</v>
      </c>
      <c r="E155" s="68">
        <v>4422784446</v>
      </c>
      <c r="F155" s="68">
        <v>1</v>
      </c>
      <c r="G155" s="68">
        <v>5</v>
      </c>
      <c r="H155" s="68">
        <v>2.5</v>
      </c>
      <c r="I155" s="68">
        <v>10</v>
      </c>
      <c r="J155" s="68">
        <v>2.5</v>
      </c>
      <c r="K155" s="68">
        <v>5</v>
      </c>
      <c r="L155" s="68">
        <v>2.5</v>
      </c>
      <c r="M155" s="68" t="s">
        <v>11</v>
      </c>
      <c r="N155" s="68" t="s">
        <v>1555</v>
      </c>
      <c r="O155" s="68"/>
    </row>
    <row r="156" spans="1:26" ht="12.75">
      <c r="A156" s="68" t="s">
        <v>18</v>
      </c>
      <c r="B156" s="69">
        <v>45469</v>
      </c>
      <c r="C156" s="68" t="s">
        <v>1556</v>
      </c>
      <c r="D156" s="68" t="s">
        <v>171</v>
      </c>
      <c r="E156" s="68">
        <v>4491637476</v>
      </c>
      <c r="F156" s="68">
        <v>3</v>
      </c>
      <c r="G156" s="68">
        <v>7.5</v>
      </c>
      <c r="H156" s="68">
        <v>5</v>
      </c>
      <c r="I156" s="68">
        <v>7.5</v>
      </c>
      <c r="J156" s="68">
        <v>5</v>
      </c>
      <c r="K156" s="68">
        <v>2.5</v>
      </c>
      <c r="L156" s="68">
        <v>2.5</v>
      </c>
      <c r="M156" s="68"/>
      <c r="N156" s="68" t="s">
        <v>1557</v>
      </c>
      <c r="O156" s="68" t="s">
        <v>1558</v>
      </c>
    </row>
    <row r="157" spans="1:26" ht="12.75">
      <c r="A157" s="68" t="s">
        <v>18</v>
      </c>
      <c r="B157" s="69">
        <v>45469</v>
      </c>
      <c r="C157" s="68" t="s">
        <v>1167</v>
      </c>
      <c r="D157" s="68" t="s">
        <v>25</v>
      </c>
      <c r="E157" s="68">
        <v>4529268054</v>
      </c>
      <c r="F157" s="68">
        <v>6</v>
      </c>
      <c r="G157" s="68">
        <v>10</v>
      </c>
      <c r="H157" s="68">
        <v>5</v>
      </c>
      <c r="I157" s="68">
        <v>10</v>
      </c>
      <c r="J157" s="68">
        <v>5</v>
      </c>
      <c r="K157" s="68">
        <v>5</v>
      </c>
      <c r="L157" s="68">
        <v>7.5</v>
      </c>
      <c r="M157" s="68" t="s">
        <v>1559</v>
      </c>
      <c r="N157" s="68" t="s">
        <v>1560</v>
      </c>
      <c r="O157" s="68"/>
    </row>
    <row r="158" spans="1:26" ht="12.75">
      <c r="A158" s="68" t="s">
        <v>18</v>
      </c>
      <c r="B158" s="69">
        <v>45470</v>
      </c>
      <c r="C158" s="68" t="s">
        <v>1561</v>
      </c>
      <c r="D158" s="68" t="s">
        <v>93</v>
      </c>
      <c r="E158" s="68">
        <v>4491615426</v>
      </c>
      <c r="F158" s="68">
        <v>5</v>
      </c>
      <c r="G158" s="68">
        <v>10</v>
      </c>
      <c r="H158" s="68">
        <v>5</v>
      </c>
      <c r="I158" s="68">
        <v>10</v>
      </c>
      <c r="J158" s="68">
        <v>5</v>
      </c>
      <c r="K158" s="68">
        <v>2.5</v>
      </c>
      <c r="L158" s="68">
        <v>5</v>
      </c>
      <c r="M158" s="68" t="s">
        <v>1562</v>
      </c>
      <c r="N158" s="68" t="s">
        <v>1563</v>
      </c>
      <c r="O158" s="68"/>
    </row>
    <row r="159" spans="1:26" ht="12.75">
      <c r="A159" s="68" t="s">
        <v>18</v>
      </c>
      <c r="B159" s="69">
        <v>45470</v>
      </c>
      <c r="C159" s="68" t="s">
        <v>724</v>
      </c>
      <c r="D159" s="68" t="s">
        <v>118</v>
      </c>
      <c r="E159" s="68">
        <v>4604468292</v>
      </c>
      <c r="F159" s="68">
        <v>8</v>
      </c>
      <c r="G159" s="68">
        <v>10</v>
      </c>
      <c r="H159" s="68">
        <v>7.5</v>
      </c>
      <c r="I159" s="68">
        <v>10</v>
      </c>
      <c r="J159" s="68">
        <v>5</v>
      </c>
      <c r="K159" s="68">
        <v>7.5</v>
      </c>
      <c r="L159" s="68">
        <v>10</v>
      </c>
      <c r="M159" s="68"/>
      <c r="N159" s="68"/>
      <c r="O159" s="68"/>
    </row>
    <row r="160" spans="1:26" ht="12.75">
      <c r="A160" s="68" t="s">
        <v>18</v>
      </c>
      <c r="B160" s="69">
        <v>45470</v>
      </c>
      <c r="C160" s="68" t="s">
        <v>1564</v>
      </c>
      <c r="D160" s="68" t="s">
        <v>36</v>
      </c>
      <c r="E160" s="68">
        <v>4973863420</v>
      </c>
      <c r="F160" s="68">
        <v>1</v>
      </c>
      <c r="G160" s="68">
        <v>5</v>
      </c>
      <c r="H160" s="68">
        <v>2.5</v>
      </c>
      <c r="I160" s="68">
        <v>5</v>
      </c>
      <c r="J160" s="68">
        <v>5</v>
      </c>
      <c r="K160" s="68">
        <v>2.5</v>
      </c>
      <c r="L160" s="68">
        <v>2.5</v>
      </c>
      <c r="M160" s="68"/>
      <c r="N160" s="68" t="s">
        <v>1565</v>
      </c>
      <c r="O160" s="68" t="s">
        <v>1566</v>
      </c>
    </row>
    <row r="161" spans="1:15" ht="12.75">
      <c r="A161" s="68" t="s">
        <v>18</v>
      </c>
      <c r="B161" s="69">
        <v>45470</v>
      </c>
      <c r="C161" s="68" t="s">
        <v>1567</v>
      </c>
      <c r="D161" s="68" t="s">
        <v>54</v>
      </c>
      <c r="E161" s="68">
        <v>4343623508</v>
      </c>
      <c r="F161" s="68">
        <v>7</v>
      </c>
      <c r="G161" s="68">
        <v>10</v>
      </c>
      <c r="H161" s="68">
        <v>5</v>
      </c>
      <c r="I161" s="68">
        <v>10</v>
      </c>
      <c r="J161" s="68">
        <v>5</v>
      </c>
      <c r="K161" s="68">
        <v>5</v>
      </c>
      <c r="L161" s="68">
        <v>7.5</v>
      </c>
      <c r="M161" s="68" t="s">
        <v>1568</v>
      </c>
      <c r="N161" s="68" t="s">
        <v>1569</v>
      </c>
      <c r="O161" s="68" t="s">
        <v>1570</v>
      </c>
    </row>
    <row r="162" spans="1:15" ht="12.75">
      <c r="A162" s="68" t="s">
        <v>18</v>
      </c>
      <c r="B162" s="69">
        <v>45470</v>
      </c>
      <c r="C162" s="68" t="s">
        <v>1571</v>
      </c>
      <c r="D162" s="68" t="s">
        <v>85</v>
      </c>
      <c r="E162" s="68">
        <v>4778506046</v>
      </c>
      <c r="F162" s="68">
        <v>10</v>
      </c>
      <c r="G162" s="68">
        <v>10</v>
      </c>
      <c r="H162" s="68">
        <v>10</v>
      </c>
      <c r="I162" s="68">
        <v>10</v>
      </c>
      <c r="J162" s="68">
        <v>10</v>
      </c>
      <c r="K162" s="68">
        <v>10</v>
      </c>
      <c r="L162" s="68">
        <v>10</v>
      </c>
      <c r="M162" s="68"/>
      <c r="N162" s="68"/>
      <c r="O162" s="68"/>
    </row>
    <row r="163" spans="1:15" ht="12.75">
      <c r="A163" s="68" t="s">
        <v>18</v>
      </c>
      <c r="B163" s="69">
        <v>45470</v>
      </c>
      <c r="C163" s="68" t="s">
        <v>1572</v>
      </c>
      <c r="D163" s="68" t="s">
        <v>60</v>
      </c>
      <c r="E163" s="68">
        <v>4581972923</v>
      </c>
      <c r="F163" s="68">
        <v>9</v>
      </c>
      <c r="G163" s="68">
        <v>10</v>
      </c>
      <c r="H163" s="68">
        <v>7.5</v>
      </c>
      <c r="I163" s="68">
        <v>10</v>
      </c>
      <c r="J163" s="68">
        <v>10</v>
      </c>
      <c r="K163" s="68">
        <v>10</v>
      </c>
      <c r="L163" s="68">
        <v>10</v>
      </c>
      <c r="M163" s="68"/>
      <c r="N163" s="68"/>
      <c r="O163" s="68" t="s">
        <v>413</v>
      </c>
    </row>
    <row r="164" spans="1:15" ht="12.75">
      <c r="A164" s="68" t="s">
        <v>18</v>
      </c>
      <c r="B164" s="69">
        <v>45470</v>
      </c>
      <c r="C164" s="68" t="s">
        <v>1573</v>
      </c>
      <c r="D164" s="68" t="s">
        <v>20</v>
      </c>
      <c r="E164" s="68">
        <v>4703781719</v>
      </c>
      <c r="F164" s="68">
        <v>1</v>
      </c>
      <c r="G164" s="68">
        <v>7.5</v>
      </c>
      <c r="H164" s="68">
        <v>5</v>
      </c>
      <c r="I164" s="68">
        <v>10</v>
      </c>
      <c r="J164" s="68">
        <v>2.5</v>
      </c>
      <c r="K164" s="68">
        <v>2.5</v>
      </c>
      <c r="L164" s="68">
        <v>2.5</v>
      </c>
      <c r="M164" s="68"/>
      <c r="N164" s="68"/>
      <c r="O164" s="68"/>
    </row>
    <row r="165" spans="1:15" ht="12.75">
      <c r="A165" s="68" t="s">
        <v>18</v>
      </c>
      <c r="B165" s="69">
        <v>45471</v>
      </c>
      <c r="C165" s="68" t="s">
        <v>710</v>
      </c>
      <c r="D165" s="68" t="s">
        <v>317</v>
      </c>
      <c r="E165" s="68">
        <v>4714695171</v>
      </c>
      <c r="F165" s="68">
        <v>3</v>
      </c>
      <c r="G165" s="68">
        <v>5</v>
      </c>
      <c r="H165" s="68">
        <v>2.5</v>
      </c>
      <c r="I165" s="68">
        <v>7.5</v>
      </c>
      <c r="J165" s="68">
        <v>2.5</v>
      </c>
      <c r="K165" s="68">
        <v>5</v>
      </c>
      <c r="L165" s="68">
        <v>5</v>
      </c>
      <c r="M165" s="68" t="s">
        <v>1574</v>
      </c>
      <c r="N165" s="68" t="s">
        <v>1575</v>
      </c>
      <c r="O165" s="68" t="s">
        <v>1576</v>
      </c>
    </row>
    <row r="166" spans="1:15" ht="12.75">
      <c r="A166" s="68" t="s">
        <v>18</v>
      </c>
      <c r="B166" s="69">
        <v>45471</v>
      </c>
      <c r="C166" s="68" t="s">
        <v>1577</v>
      </c>
      <c r="D166" s="68" t="s">
        <v>36</v>
      </c>
      <c r="E166" s="68">
        <v>4543392437</v>
      </c>
      <c r="F166" s="68">
        <v>9</v>
      </c>
      <c r="G166" s="68">
        <v>10</v>
      </c>
      <c r="H166" s="68">
        <v>10</v>
      </c>
      <c r="I166" s="68">
        <v>10</v>
      </c>
      <c r="J166" s="68">
        <v>10</v>
      </c>
      <c r="K166" s="68">
        <v>10</v>
      </c>
      <c r="L166" s="68">
        <v>10</v>
      </c>
      <c r="M166" s="68"/>
      <c r="N166" s="68"/>
      <c r="O166" s="68" t="s">
        <v>34</v>
      </c>
    </row>
    <row r="167" spans="1:15" ht="12.75">
      <c r="A167" s="68" t="s">
        <v>18</v>
      </c>
      <c r="B167" s="69">
        <v>45471</v>
      </c>
      <c r="C167" s="68" t="s">
        <v>1578</v>
      </c>
      <c r="D167" s="68" t="s">
        <v>1579</v>
      </c>
      <c r="E167" s="68">
        <v>4429050608</v>
      </c>
      <c r="F167" s="68">
        <v>10</v>
      </c>
      <c r="G167" s="68">
        <v>10</v>
      </c>
      <c r="H167" s="68">
        <v>10</v>
      </c>
      <c r="I167" s="68">
        <v>10</v>
      </c>
      <c r="J167" s="68">
        <v>10</v>
      </c>
      <c r="K167" s="68">
        <v>10</v>
      </c>
      <c r="L167" s="68">
        <v>10</v>
      </c>
      <c r="M167" s="68"/>
      <c r="N167" s="68"/>
      <c r="O167" s="68"/>
    </row>
    <row r="168" spans="1:15" ht="12.75">
      <c r="A168" s="68" t="s">
        <v>350</v>
      </c>
      <c r="B168" s="69">
        <v>45445</v>
      </c>
      <c r="C168" s="68" t="s">
        <v>1436</v>
      </c>
      <c r="D168" s="68" t="s">
        <v>25</v>
      </c>
      <c r="E168" s="68">
        <v>246006374</v>
      </c>
      <c r="F168" s="68">
        <v>8</v>
      </c>
      <c r="G168" s="68"/>
      <c r="H168" s="68"/>
      <c r="I168" s="68"/>
      <c r="J168" s="68"/>
      <c r="K168" s="68"/>
      <c r="L168" s="68" t="s">
        <v>1580</v>
      </c>
      <c r="M168" s="68" t="s">
        <v>1581</v>
      </c>
      <c r="N168" s="68"/>
      <c r="O168" s="68" t="s">
        <v>1582</v>
      </c>
    </row>
    <row r="169" spans="1:15" ht="12.75">
      <c r="A169" s="68" t="s">
        <v>350</v>
      </c>
      <c r="B169" s="69">
        <v>45446</v>
      </c>
      <c r="C169" s="68" t="s">
        <v>1583</v>
      </c>
      <c r="D169" s="68" t="s">
        <v>134</v>
      </c>
      <c r="E169" s="68">
        <v>245148292</v>
      </c>
      <c r="F169" s="68">
        <v>6</v>
      </c>
      <c r="G169" s="68"/>
      <c r="H169" s="68"/>
      <c r="I169" s="68"/>
      <c r="J169" s="68"/>
      <c r="K169" s="68"/>
      <c r="L169" s="68"/>
      <c r="M169" s="68" t="s">
        <v>46</v>
      </c>
      <c r="N169" s="68" t="s">
        <v>1584</v>
      </c>
      <c r="O169" s="68" t="s">
        <v>1585</v>
      </c>
    </row>
    <row r="170" spans="1:15" ht="12.75">
      <c r="A170" s="68" t="s">
        <v>350</v>
      </c>
      <c r="B170" s="69">
        <v>45446</v>
      </c>
      <c r="C170" s="68" t="s">
        <v>1586</v>
      </c>
      <c r="D170" s="68" t="s">
        <v>148</v>
      </c>
      <c r="E170" s="68">
        <v>245036019</v>
      </c>
      <c r="F170" s="68">
        <v>4</v>
      </c>
      <c r="G170" s="68"/>
      <c r="H170" s="68"/>
      <c r="I170" s="68"/>
      <c r="J170" s="68"/>
      <c r="K170" s="68"/>
      <c r="L170" s="68"/>
      <c r="M170" s="68"/>
      <c r="N170" s="68"/>
      <c r="O170" s="68" t="s">
        <v>1587</v>
      </c>
    </row>
    <row r="171" spans="1:15" ht="12.75">
      <c r="A171" s="68" t="s">
        <v>350</v>
      </c>
      <c r="B171" s="69">
        <v>45447</v>
      </c>
      <c r="C171" s="68" t="s">
        <v>1588</v>
      </c>
      <c r="D171" s="68" t="s">
        <v>654</v>
      </c>
      <c r="E171" s="68">
        <v>225649380</v>
      </c>
      <c r="F171" s="68">
        <v>8</v>
      </c>
      <c r="G171" s="68"/>
      <c r="H171" s="68"/>
      <c r="I171" s="68"/>
      <c r="J171" s="68"/>
      <c r="K171" s="68"/>
      <c r="L171" s="68"/>
      <c r="M171" s="68" t="s">
        <v>1589</v>
      </c>
      <c r="N171" s="68" t="s">
        <v>1590</v>
      </c>
      <c r="O171" s="68" t="s">
        <v>1591</v>
      </c>
    </row>
    <row r="172" spans="1:15" ht="12.75">
      <c r="A172" s="68" t="s">
        <v>350</v>
      </c>
      <c r="B172" s="69">
        <v>45447</v>
      </c>
      <c r="C172" s="68" t="s">
        <v>1592</v>
      </c>
      <c r="D172" s="68" t="s">
        <v>148</v>
      </c>
      <c r="E172" s="68">
        <v>248319558</v>
      </c>
      <c r="F172" s="68">
        <v>10</v>
      </c>
      <c r="G172" s="68"/>
      <c r="H172" s="68"/>
      <c r="I172" s="68"/>
      <c r="J172" s="68"/>
      <c r="K172" s="68"/>
      <c r="L172" s="68"/>
      <c r="M172" s="68"/>
      <c r="N172" s="68"/>
      <c r="O172" s="68" t="s">
        <v>1593</v>
      </c>
    </row>
    <row r="173" spans="1:15" ht="12.75">
      <c r="A173" s="68" t="s">
        <v>350</v>
      </c>
      <c r="B173" s="69">
        <v>45448</v>
      </c>
      <c r="C173" s="68" t="s">
        <v>1594</v>
      </c>
      <c r="D173" s="68" t="s">
        <v>105</v>
      </c>
      <c r="E173" s="68">
        <v>249009039</v>
      </c>
      <c r="F173" s="68">
        <v>2</v>
      </c>
      <c r="G173" s="68"/>
      <c r="H173" s="68"/>
      <c r="I173" s="68"/>
      <c r="J173" s="68"/>
      <c r="K173" s="68"/>
      <c r="L173" s="68"/>
      <c r="M173" s="68"/>
      <c r="N173" s="68"/>
      <c r="O173" s="68" t="s">
        <v>1595</v>
      </c>
    </row>
    <row r="174" spans="1:15" ht="12.75">
      <c r="A174" s="68" t="s">
        <v>350</v>
      </c>
      <c r="B174" s="69">
        <v>45448</v>
      </c>
      <c r="C174" s="68" t="s">
        <v>1596</v>
      </c>
      <c r="D174" s="68" t="s">
        <v>647</v>
      </c>
      <c r="E174" s="68">
        <v>239357966</v>
      </c>
      <c r="F174" s="68">
        <v>10</v>
      </c>
      <c r="G174" s="68"/>
      <c r="H174" s="68"/>
      <c r="I174" s="68"/>
      <c r="J174" s="68"/>
      <c r="K174" s="68"/>
      <c r="L174" s="68"/>
      <c r="M174" s="68" t="s">
        <v>1597</v>
      </c>
      <c r="N174" s="68"/>
      <c r="O174" s="68" t="s">
        <v>1598</v>
      </c>
    </row>
    <row r="175" spans="1:15" ht="12.75">
      <c r="A175" s="68" t="s">
        <v>350</v>
      </c>
      <c r="B175" s="69">
        <v>45450</v>
      </c>
      <c r="C175" s="68" t="s">
        <v>1477</v>
      </c>
      <c r="D175" s="68" t="s">
        <v>25</v>
      </c>
      <c r="E175" s="68">
        <v>250622963</v>
      </c>
      <c r="F175" s="68">
        <v>10</v>
      </c>
      <c r="G175" s="68"/>
      <c r="H175" s="68"/>
      <c r="I175" s="68"/>
      <c r="J175" s="68"/>
      <c r="K175" s="68"/>
      <c r="L175" s="68"/>
      <c r="M175" s="68" t="s">
        <v>1599</v>
      </c>
      <c r="N175" s="68"/>
      <c r="O175" s="68" t="s">
        <v>1600</v>
      </c>
    </row>
    <row r="176" spans="1:15" ht="12.75">
      <c r="A176" s="68" t="s">
        <v>350</v>
      </c>
      <c r="B176" s="69">
        <v>45452</v>
      </c>
      <c r="C176" s="68" t="s">
        <v>1601</v>
      </c>
      <c r="D176" s="68" t="s">
        <v>134</v>
      </c>
      <c r="E176" s="68">
        <v>246929616</v>
      </c>
      <c r="F176" s="68">
        <v>2</v>
      </c>
      <c r="G176" s="68"/>
      <c r="H176" s="68"/>
      <c r="I176" s="68"/>
      <c r="J176" s="68"/>
      <c r="K176" s="68"/>
      <c r="L176" s="68"/>
      <c r="M176" s="68"/>
      <c r="N176" s="68" t="s">
        <v>1602</v>
      </c>
      <c r="O176" s="68" t="s">
        <v>1603</v>
      </c>
    </row>
    <row r="177" spans="1:15" ht="12.75">
      <c r="A177" s="68" t="s">
        <v>350</v>
      </c>
      <c r="B177" s="69">
        <v>45453</v>
      </c>
      <c r="C177" s="68" t="s">
        <v>1604</v>
      </c>
      <c r="D177" s="68" t="s">
        <v>148</v>
      </c>
      <c r="E177" s="68">
        <v>213675580</v>
      </c>
      <c r="F177" s="68">
        <v>2</v>
      </c>
      <c r="G177" s="68"/>
      <c r="H177" s="68"/>
      <c r="I177" s="68"/>
      <c r="J177" s="68"/>
      <c r="K177" s="68"/>
      <c r="L177" s="68"/>
      <c r="M177" s="68"/>
      <c r="N177" s="68" t="s">
        <v>1605</v>
      </c>
      <c r="O177" s="68"/>
    </row>
    <row r="178" spans="1:15" ht="12.75">
      <c r="A178" s="68" t="s">
        <v>350</v>
      </c>
      <c r="B178" s="69">
        <v>45455</v>
      </c>
      <c r="C178" s="68" t="s">
        <v>175</v>
      </c>
      <c r="D178" s="68" t="s">
        <v>654</v>
      </c>
      <c r="E178" s="68">
        <v>229291266</v>
      </c>
      <c r="F178" s="68">
        <v>6</v>
      </c>
      <c r="G178" s="68"/>
      <c r="H178" s="68"/>
      <c r="I178" s="68"/>
      <c r="J178" s="68"/>
      <c r="K178" s="68"/>
      <c r="L178" s="68"/>
      <c r="M178" s="68" t="s">
        <v>46</v>
      </c>
      <c r="N178" s="68" t="s">
        <v>1606</v>
      </c>
      <c r="O178" s="68"/>
    </row>
    <row r="179" spans="1:15" ht="12.75">
      <c r="A179" s="68" t="s">
        <v>350</v>
      </c>
      <c r="B179" s="69">
        <v>45455</v>
      </c>
      <c r="C179" s="68" t="s">
        <v>1607</v>
      </c>
      <c r="D179" s="68" t="s">
        <v>134</v>
      </c>
      <c r="E179" s="68">
        <v>235165320</v>
      </c>
      <c r="F179" s="68">
        <v>4</v>
      </c>
      <c r="G179" s="68"/>
      <c r="H179" s="68"/>
      <c r="I179" s="68"/>
      <c r="J179" s="68"/>
      <c r="K179" s="68"/>
      <c r="L179" s="68"/>
      <c r="M179" s="68"/>
      <c r="N179" s="68" t="s">
        <v>1608</v>
      </c>
      <c r="O179" s="68"/>
    </row>
    <row r="180" spans="1:15" ht="12.75">
      <c r="A180" s="68" t="s">
        <v>350</v>
      </c>
      <c r="B180" s="69">
        <v>45456</v>
      </c>
      <c r="C180" s="68" t="s">
        <v>1609</v>
      </c>
      <c r="D180" s="68" t="s">
        <v>647</v>
      </c>
      <c r="E180" s="68">
        <v>213553699</v>
      </c>
      <c r="F180" s="68">
        <v>10</v>
      </c>
      <c r="G180" s="68"/>
      <c r="H180" s="68"/>
      <c r="I180" s="68"/>
      <c r="J180" s="68"/>
      <c r="K180" s="68"/>
      <c r="L180" s="68"/>
      <c r="M180" s="68"/>
      <c r="N180" s="68"/>
      <c r="O180" s="68"/>
    </row>
    <row r="181" spans="1:15" ht="12.75">
      <c r="A181" s="68" t="s">
        <v>350</v>
      </c>
      <c r="B181" s="69">
        <v>45457</v>
      </c>
      <c r="C181" s="68" t="s">
        <v>1610</v>
      </c>
      <c r="D181" s="68" t="s">
        <v>148</v>
      </c>
      <c r="E181" s="68">
        <v>250074026</v>
      </c>
      <c r="F181" s="68">
        <v>4</v>
      </c>
      <c r="G181" s="68"/>
      <c r="H181" s="68"/>
      <c r="I181" s="68"/>
      <c r="J181" s="68"/>
      <c r="K181" s="68"/>
      <c r="L181" s="68"/>
      <c r="M181" s="68"/>
      <c r="N181" s="68"/>
      <c r="O181" s="68"/>
    </row>
    <row r="182" spans="1:15" ht="12.75">
      <c r="A182" s="68" t="s">
        <v>350</v>
      </c>
      <c r="B182" s="69">
        <v>45457</v>
      </c>
      <c r="C182" s="68" t="s">
        <v>270</v>
      </c>
      <c r="D182" s="68"/>
      <c r="E182" s="68">
        <v>232088101</v>
      </c>
      <c r="F182" s="68">
        <v>6</v>
      </c>
      <c r="G182" s="68"/>
      <c r="H182" s="68"/>
      <c r="I182" s="68"/>
      <c r="J182" s="68"/>
      <c r="K182" s="68"/>
      <c r="L182" s="68"/>
      <c r="M182" s="68" t="s">
        <v>1611</v>
      </c>
      <c r="N182" s="68" t="s">
        <v>1612</v>
      </c>
      <c r="O182" s="68" t="s">
        <v>1613</v>
      </c>
    </row>
    <row r="183" spans="1:15" ht="12.75">
      <c r="A183" s="68" t="s">
        <v>350</v>
      </c>
      <c r="B183" s="69">
        <v>45457</v>
      </c>
      <c r="C183" s="68" t="s">
        <v>1614</v>
      </c>
      <c r="D183" s="68" t="s">
        <v>43</v>
      </c>
      <c r="E183" s="68">
        <v>250613175</v>
      </c>
      <c r="F183" s="68">
        <v>8</v>
      </c>
      <c r="G183" s="68"/>
      <c r="H183" s="68"/>
      <c r="I183" s="68"/>
      <c r="J183" s="68"/>
      <c r="K183" s="68"/>
      <c r="L183" s="68"/>
      <c r="M183" s="68"/>
      <c r="N183" s="68"/>
      <c r="O183" s="68"/>
    </row>
    <row r="184" spans="1:15" ht="12.75">
      <c r="A184" s="68" t="s">
        <v>350</v>
      </c>
      <c r="B184" s="69">
        <v>45459</v>
      </c>
      <c r="C184" s="68" t="s">
        <v>1615</v>
      </c>
      <c r="D184" s="68" t="s">
        <v>25</v>
      </c>
      <c r="E184" s="68">
        <v>248958010</v>
      </c>
      <c r="F184" s="68">
        <v>2</v>
      </c>
      <c r="G184" s="68"/>
      <c r="H184" s="68"/>
      <c r="I184" s="68"/>
      <c r="J184" s="68"/>
      <c r="K184" s="68"/>
      <c r="L184" s="68"/>
      <c r="M184" s="68"/>
      <c r="N184" s="68"/>
      <c r="O184" s="68"/>
    </row>
    <row r="185" spans="1:15" ht="12.75">
      <c r="A185" s="68" t="s">
        <v>350</v>
      </c>
      <c r="B185" s="69">
        <v>45459</v>
      </c>
      <c r="C185" s="68" t="s">
        <v>1616</v>
      </c>
      <c r="D185" s="68" t="s">
        <v>25</v>
      </c>
      <c r="E185" s="68">
        <v>249311158</v>
      </c>
      <c r="F185" s="68">
        <v>6</v>
      </c>
      <c r="G185" s="68"/>
      <c r="H185" s="68"/>
      <c r="I185" s="68"/>
      <c r="J185" s="68"/>
      <c r="K185" s="68"/>
      <c r="L185" s="68"/>
      <c r="M185" s="68"/>
      <c r="N185" s="68"/>
      <c r="O185" s="68"/>
    </row>
    <row r="186" spans="1:15" ht="12.75">
      <c r="A186" s="68" t="s">
        <v>350</v>
      </c>
      <c r="B186" s="69">
        <v>45462</v>
      </c>
      <c r="C186" s="68" t="s">
        <v>1617</v>
      </c>
      <c r="D186" s="68" t="s">
        <v>60</v>
      </c>
      <c r="E186" s="68">
        <v>256115931</v>
      </c>
      <c r="F186" s="68">
        <v>6</v>
      </c>
      <c r="G186" s="68"/>
      <c r="H186" s="68"/>
      <c r="I186" s="68"/>
      <c r="J186" s="68"/>
      <c r="K186" s="68"/>
      <c r="L186" s="68"/>
      <c r="M186" s="68"/>
      <c r="N186" s="68"/>
      <c r="O186" s="68"/>
    </row>
    <row r="187" spans="1:15" ht="12.75">
      <c r="A187" s="68" t="s">
        <v>350</v>
      </c>
      <c r="B187" s="69">
        <v>45462</v>
      </c>
      <c r="C187" s="68" t="s">
        <v>938</v>
      </c>
      <c r="D187" s="68" t="s">
        <v>148</v>
      </c>
      <c r="E187" s="68">
        <v>124592515</v>
      </c>
      <c r="F187" s="68">
        <v>2</v>
      </c>
      <c r="G187" s="68"/>
      <c r="H187" s="68"/>
      <c r="I187" s="68"/>
      <c r="J187" s="68"/>
      <c r="K187" s="68"/>
      <c r="L187" s="68"/>
      <c r="M187" s="68"/>
      <c r="N187" s="68"/>
      <c r="O187" s="68"/>
    </row>
    <row r="188" spans="1:15" ht="12.75">
      <c r="A188" s="68" t="s">
        <v>350</v>
      </c>
      <c r="B188" s="69">
        <v>45462</v>
      </c>
      <c r="C188" s="68" t="s">
        <v>1618</v>
      </c>
      <c r="D188" s="68" t="s">
        <v>25</v>
      </c>
      <c r="E188" s="68">
        <v>249015135</v>
      </c>
      <c r="F188" s="68">
        <v>8</v>
      </c>
      <c r="G188" s="68"/>
      <c r="H188" s="68"/>
      <c r="I188" s="68"/>
      <c r="J188" s="68"/>
      <c r="K188" s="68"/>
      <c r="L188" s="68"/>
      <c r="M188" s="68"/>
      <c r="N188" s="68"/>
      <c r="O188" s="68"/>
    </row>
    <row r="189" spans="1:15" ht="12.75">
      <c r="A189" s="68" t="s">
        <v>350</v>
      </c>
      <c r="B189" s="69">
        <v>45463</v>
      </c>
      <c r="C189" s="68" t="s">
        <v>1619</v>
      </c>
      <c r="D189" s="68" t="s">
        <v>43</v>
      </c>
      <c r="E189" s="68">
        <v>257845052</v>
      </c>
      <c r="F189" s="68">
        <v>10</v>
      </c>
      <c r="G189" s="68"/>
      <c r="H189" s="68"/>
      <c r="I189" s="68"/>
      <c r="J189" s="68"/>
      <c r="K189" s="68"/>
      <c r="L189" s="68"/>
      <c r="M189" s="68"/>
      <c r="N189" s="68" t="s">
        <v>1620</v>
      </c>
      <c r="O189" s="68"/>
    </row>
    <row r="190" spans="1:15" ht="12.75">
      <c r="A190" s="68" t="s">
        <v>350</v>
      </c>
      <c r="B190" s="69">
        <v>45465</v>
      </c>
      <c r="C190" s="68" t="s">
        <v>236</v>
      </c>
      <c r="D190" s="68" t="s">
        <v>25</v>
      </c>
      <c r="E190" s="68">
        <v>256878671</v>
      </c>
      <c r="F190" s="68">
        <v>8</v>
      </c>
      <c r="G190" s="68"/>
      <c r="H190" s="68"/>
      <c r="I190" s="68"/>
      <c r="J190" s="68"/>
      <c r="K190" s="68"/>
      <c r="L190" s="68"/>
      <c r="M190" s="68"/>
      <c r="N190" s="68"/>
      <c r="O190" s="68"/>
    </row>
    <row r="191" spans="1:15" ht="12.75">
      <c r="A191" s="68" t="s">
        <v>350</v>
      </c>
      <c r="B191" s="69">
        <v>45467</v>
      </c>
      <c r="C191" s="68" t="s">
        <v>1458</v>
      </c>
      <c r="D191" s="68" t="s">
        <v>60</v>
      </c>
      <c r="E191" s="68">
        <v>215893306</v>
      </c>
      <c r="F191" s="68">
        <v>8</v>
      </c>
      <c r="G191" s="68">
        <v>8</v>
      </c>
      <c r="H191" s="68">
        <v>6</v>
      </c>
      <c r="I191" s="68">
        <v>8</v>
      </c>
      <c r="J191" s="68">
        <v>5</v>
      </c>
      <c r="K191" s="68">
        <v>5</v>
      </c>
      <c r="L191" s="68">
        <v>5</v>
      </c>
      <c r="M191" s="68" t="s">
        <v>1621</v>
      </c>
      <c r="N191" s="68" t="s">
        <v>1622</v>
      </c>
      <c r="O191" s="68" t="s">
        <v>1623</v>
      </c>
    </row>
    <row r="192" spans="1:15" ht="12.75">
      <c r="A192" s="68" t="s">
        <v>350</v>
      </c>
      <c r="B192" s="69">
        <v>45467</v>
      </c>
      <c r="C192" s="68" t="s">
        <v>1624</v>
      </c>
      <c r="D192" s="68"/>
      <c r="E192" s="68"/>
      <c r="F192" s="68">
        <v>8</v>
      </c>
      <c r="G192" s="68"/>
      <c r="H192" s="68"/>
      <c r="I192" s="68"/>
      <c r="J192" s="68"/>
      <c r="K192" s="68"/>
      <c r="L192" s="68"/>
      <c r="M192" s="68" t="s">
        <v>1625</v>
      </c>
      <c r="N192" s="68" t="s">
        <v>1626</v>
      </c>
      <c r="O192" s="68" t="s">
        <v>1627</v>
      </c>
    </row>
    <row r="193" spans="1:26" ht="12.75">
      <c r="A193" s="68" t="s">
        <v>350</v>
      </c>
      <c r="B193" s="69">
        <v>45471</v>
      </c>
      <c r="C193" s="68" t="s">
        <v>1628</v>
      </c>
      <c r="D193" s="68"/>
      <c r="E193" s="68"/>
      <c r="F193" s="68">
        <v>4</v>
      </c>
      <c r="G193" s="68"/>
      <c r="H193" s="68"/>
      <c r="I193" s="68"/>
      <c r="J193" s="68"/>
      <c r="K193" s="68"/>
      <c r="L193" s="68"/>
      <c r="M193" s="68"/>
      <c r="N193" s="68"/>
      <c r="O193" s="68" t="s">
        <v>1629</v>
      </c>
    </row>
    <row r="194" spans="1:26" ht="12.75">
      <c r="A194" s="68" t="s">
        <v>350</v>
      </c>
      <c r="B194" s="69">
        <v>45470</v>
      </c>
      <c r="C194" s="68" t="s">
        <v>1630</v>
      </c>
      <c r="D194" s="68"/>
      <c r="E194" s="68"/>
      <c r="F194" s="68">
        <v>4</v>
      </c>
      <c r="G194" s="68"/>
      <c r="H194" s="68"/>
      <c r="I194" s="68"/>
      <c r="J194" s="68"/>
      <c r="K194" s="68"/>
      <c r="L194" s="68"/>
      <c r="M194" s="68"/>
      <c r="N194" s="68"/>
      <c r="O194" s="68" t="s">
        <v>1631</v>
      </c>
    </row>
    <row r="195" spans="1:26" ht="12.75">
      <c r="A195" s="68" t="s">
        <v>386</v>
      </c>
      <c r="B195" s="69">
        <v>45445</v>
      </c>
      <c r="C195" s="68" t="s">
        <v>1632</v>
      </c>
      <c r="D195" s="68"/>
      <c r="E195" s="68"/>
      <c r="F195" s="68">
        <v>2</v>
      </c>
      <c r="G195" s="68">
        <v>2</v>
      </c>
      <c r="H195" s="68">
        <v>1</v>
      </c>
      <c r="I195" s="68">
        <v>3</v>
      </c>
      <c r="J195" s="68"/>
      <c r="K195" s="68"/>
      <c r="L195" s="68"/>
      <c r="M195" s="68"/>
      <c r="N195" s="68" t="s">
        <v>1633</v>
      </c>
      <c r="O195" s="68"/>
    </row>
    <row r="196" spans="1:26" ht="12.75">
      <c r="A196" s="68" t="s">
        <v>386</v>
      </c>
      <c r="B196" s="69">
        <v>45445</v>
      </c>
      <c r="C196" s="68" t="s">
        <v>1634</v>
      </c>
      <c r="D196" s="68"/>
      <c r="E196" s="68"/>
      <c r="F196" s="68">
        <v>2</v>
      </c>
      <c r="G196" s="68">
        <v>1</v>
      </c>
      <c r="H196" s="68"/>
      <c r="I196" s="68"/>
      <c r="J196" s="68"/>
      <c r="K196" s="68"/>
      <c r="L196" s="68"/>
      <c r="M196" s="68"/>
      <c r="N196" s="68" t="s">
        <v>1635</v>
      </c>
      <c r="O196" s="68" t="s">
        <v>1636</v>
      </c>
    </row>
    <row r="197" spans="1:26" ht="12.75">
      <c r="A197" s="68" t="s">
        <v>386</v>
      </c>
      <c r="B197" s="69">
        <v>45445</v>
      </c>
      <c r="C197" s="68" t="s">
        <v>1637</v>
      </c>
      <c r="D197" s="68"/>
      <c r="E197" s="68"/>
      <c r="F197" s="68">
        <v>1</v>
      </c>
      <c r="G197" s="68">
        <v>1</v>
      </c>
      <c r="H197" s="68">
        <v>1</v>
      </c>
      <c r="I197" s="68">
        <v>2</v>
      </c>
      <c r="J197" s="68"/>
      <c r="K197" s="68"/>
      <c r="L197" s="68"/>
      <c r="M197" s="68"/>
      <c r="N197" s="68" t="s">
        <v>1638</v>
      </c>
      <c r="O197" s="68"/>
    </row>
    <row r="198" spans="1:26" ht="12.75">
      <c r="A198" s="68" t="s">
        <v>386</v>
      </c>
      <c r="B198" s="69">
        <v>45447</v>
      </c>
      <c r="C198" s="68" t="s">
        <v>1639</v>
      </c>
      <c r="D198" s="68"/>
      <c r="E198" s="68"/>
      <c r="F198" s="68">
        <v>2</v>
      </c>
      <c r="G198" s="68">
        <v>2</v>
      </c>
      <c r="H198" s="68">
        <v>1</v>
      </c>
      <c r="I198" s="68">
        <v>5</v>
      </c>
      <c r="J198" s="68"/>
      <c r="K198" s="68">
        <v>1</v>
      </c>
      <c r="L198" s="68"/>
      <c r="M198" s="68" t="s">
        <v>1640</v>
      </c>
      <c r="N198" s="68" t="s">
        <v>1641</v>
      </c>
      <c r="O198" s="68" t="s">
        <v>1642</v>
      </c>
      <c r="P198" s="68"/>
      <c r="Q198" s="68"/>
      <c r="R198" s="68"/>
      <c r="S198" s="68"/>
      <c r="T198" s="68"/>
      <c r="U198" s="68"/>
      <c r="V198" s="68"/>
      <c r="W198" s="68"/>
      <c r="X198" s="68"/>
      <c r="Y198" s="68"/>
      <c r="Z198" s="68"/>
    </row>
    <row r="199" spans="1:26" ht="12.75">
      <c r="A199" s="68" t="s">
        <v>386</v>
      </c>
      <c r="B199" s="69">
        <v>45450</v>
      </c>
      <c r="C199" s="68" t="s">
        <v>1643</v>
      </c>
      <c r="D199" s="68"/>
      <c r="E199" s="68"/>
      <c r="F199" s="68">
        <v>4</v>
      </c>
      <c r="G199" s="68"/>
      <c r="H199" s="68"/>
      <c r="I199" s="68" t="s">
        <v>1644</v>
      </c>
      <c r="J199" s="68"/>
      <c r="K199" s="68"/>
      <c r="L199" s="68" t="s">
        <v>1645</v>
      </c>
      <c r="M199" s="68" t="s">
        <v>1646</v>
      </c>
      <c r="N199" s="68" t="s">
        <v>1647</v>
      </c>
      <c r="O199" s="68"/>
      <c r="P199" s="68"/>
      <c r="Q199" s="68"/>
      <c r="R199" s="68"/>
      <c r="S199" s="68"/>
      <c r="T199" s="68"/>
      <c r="U199" s="68"/>
      <c r="V199" s="68"/>
      <c r="W199" s="68"/>
      <c r="X199" s="68"/>
      <c r="Y199" s="68"/>
      <c r="Z199" s="68"/>
    </row>
    <row r="200" spans="1:26" ht="12.75">
      <c r="A200" s="68" t="s">
        <v>386</v>
      </c>
      <c r="B200" s="69">
        <v>45450</v>
      </c>
      <c r="C200" s="68" t="s">
        <v>1648</v>
      </c>
      <c r="D200" s="68"/>
      <c r="E200" s="68"/>
      <c r="F200" s="68">
        <v>10</v>
      </c>
      <c r="G200" s="68">
        <v>10</v>
      </c>
      <c r="H200" s="68"/>
      <c r="I200" s="68">
        <v>10</v>
      </c>
      <c r="J200" s="68"/>
      <c r="K200" s="68">
        <v>10</v>
      </c>
      <c r="L200" s="68" t="s">
        <v>1649</v>
      </c>
      <c r="M200" s="68" t="s">
        <v>1650</v>
      </c>
      <c r="N200" s="68"/>
      <c r="O200" s="68" t="s">
        <v>1651</v>
      </c>
    </row>
    <row r="201" spans="1:26" ht="12.75">
      <c r="A201" s="68" t="s">
        <v>386</v>
      </c>
      <c r="B201" s="69">
        <v>45451</v>
      </c>
      <c r="C201" s="68" t="s">
        <v>1652</v>
      </c>
      <c r="D201" s="68"/>
      <c r="E201" s="68"/>
      <c r="F201" s="68">
        <v>2</v>
      </c>
      <c r="G201" s="68"/>
      <c r="H201" s="68"/>
      <c r="I201" s="68"/>
      <c r="J201" s="68"/>
      <c r="K201" s="68"/>
      <c r="L201" s="68"/>
      <c r="M201" s="68"/>
      <c r="N201" s="68" t="s">
        <v>1653</v>
      </c>
      <c r="O201" s="68" t="s">
        <v>1654</v>
      </c>
    </row>
    <row r="202" spans="1:26" ht="12.75">
      <c r="A202" s="68" t="s">
        <v>386</v>
      </c>
      <c r="B202" s="69">
        <v>45460</v>
      </c>
      <c r="C202" s="68" t="s">
        <v>1655</v>
      </c>
      <c r="D202" s="68" t="s">
        <v>654</v>
      </c>
      <c r="E202" s="68"/>
      <c r="F202" s="68">
        <v>2</v>
      </c>
      <c r="G202" s="68">
        <v>2</v>
      </c>
      <c r="H202" s="68">
        <v>2</v>
      </c>
      <c r="I202" s="68">
        <v>2</v>
      </c>
      <c r="J202" s="68"/>
      <c r="K202" s="68">
        <v>2</v>
      </c>
      <c r="L202" s="68"/>
      <c r="M202" s="68"/>
      <c r="N202" s="68" t="s">
        <v>1656</v>
      </c>
      <c r="O202" s="68" t="s">
        <v>1657</v>
      </c>
    </row>
    <row r="203" spans="1:26" ht="12.75">
      <c r="A203" s="68" t="s">
        <v>386</v>
      </c>
      <c r="B203" s="69">
        <v>45460</v>
      </c>
      <c r="C203" s="68" t="s">
        <v>1658</v>
      </c>
      <c r="D203" s="68" t="s">
        <v>654</v>
      </c>
      <c r="E203" s="68"/>
      <c r="F203" s="68">
        <v>2</v>
      </c>
      <c r="G203" s="68">
        <v>2</v>
      </c>
      <c r="H203" s="68">
        <v>2</v>
      </c>
      <c r="I203" s="68">
        <v>2</v>
      </c>
      <c r="J203" s="68"/>
      <c r="K203" s="68">
        <v>2</v>
      </c>
      <c r="L203" s="68"/>
      <c r="M203" s="68"/>
      <c r="N203" s="68" t="s">
        <v>1659</v>
      </c>
      <c r="O203" s="68" t="s">
        <v>1660</v>
      </c>
    </row>
    <row r="204" spans="1:26" ht="12.75">
      <c r="A204" s="68" t="s">
        <v>386</v>
      </c>
      <c r="B204" s="69">
        <v>45461</v>
      </c>
      <c r="C204" s="68" t="s">
        <v>1661</v>
      </c>
      <c r="D204" s="68" t="s">
        <v>43</v>
      </c>
      <c r="E204" s="68"/>
      <c r="F204" s="68">
        <v>4</v>
      </c>
      <c r="G204" s="68">
        <v>6</v>
      </c>
      <c r="H204" s="68">
        <v>4</v>
      </c>
      <c r="I204" s="68">
        <v>10</v>
      </c>
      <c r="J204" s="68"/>
      <c r="K204" s="68">
        <v>4</v>
      </c>
      <c r="L204" s="68"/>
      <c r="M204" s="68"/>
      <c r="N204" s="68" t="s">
        <v>1662</v>
      </c>
      <c r="O204" s="68" t="s">
        <v>1663</v>
      </c>
    </row>
    <row r="205" spans="1:26" ht="12.75">
      <c r="A205" s="68" t="s">
        <v>386</v>
      </c>
      <c r="B205" s="69">
        <v>45462</v>
      </c>
      <c r="C205" s="68" t="s">
        <v>1664</v>
      </c>
      <c r="D205" s="68" t="s">
        <v>20</v>
      </c>
      <c r="E205" s="68"/>
      <c r="F205" s="68">
        <v>10</v>
      </c>
      <c r="G205" s="68">
        <v>8</v>
      </c>
      <c r="H205" s="68">
        <v>10</v>
      </c>
      <c r="I205" s="68">
        <v>10</v>
      </c>
      <c r="J205" s="68">
        <v>8</v>
      </c>
      <c r="K205" s="68">
        <v>10</v>
      </c>
      <c r="L205" s="68">
        <v>10</v>
      </c>
      <c r="M205" s="68" t="s">
        <v>1665</v>
      </c>
      <c r="N205" s="68"/>
      <c r="O205" s="68" t="s">
        <v>1666</v>
      </c>
    </row>
    <row r="206" spans="1:26" ht="12.75">
      <c r="A206" s="68" t="s">
        <v>386</v>
      </c>
      <c r="B206" s="69">
        <v>45464</v>
      </c>
      <c r="C206" s="68" t="s">
        <v>1667</v>
      </c>
      <c r="D206" s="68" t="s">
        <v>1401</v>
      </c>
      <c r="E206" s="68"/>
      <c r="F206" s="68">
        <v>4</v>
      </c>
      <c r="G206" s="68">
        <v>4</v>
      </c>
      <c r="H206" s="68">
        <v>6</v>
      </c>
      <c r="I206" s="68">
        <v>4</v>
      </c>
      <c r="J206" s="68"/>
      <c r="K206" s="68">
        <v>2</v>
      </c>
      <c r="L206" s="68"/>
      <c r="M206" s="68" t="s">
        <v>1668</v>
      </c>
      <c r="N206" s="68" t="s">
        <v>1669</v>
      </c>
      <c r="O206" s="68" t="s">
        <v>1670</v>
      </c>
    </row>
    <row r="207" spans="1:26" ht="12.75">
      <c r="A207" s="68" t="s">
        <v>386</v>
      </c>
      <c r="B207" s="69">
        <v>45465</v>
      </c>
      <c r="C207" s="68" t="s">
        <v>1671</v>
      </c>
      <c r="D207" s="68" t="s">
        <v>105</v>
      </c>
      <c r="E207" s="68"/>
      <c r="F207" s="68">
        <v>2</v>
      </c>
      <c r="G207" s="68">
        <v>2</v>
      </c>
      <c r="H207" s="68">
        <v>2</v>
      </c>
      <c r="I207" s="68">
        <v>2</v>
      </c>
      <c r="J207" s="68"/>
      <c r="K207" s="68"/>
      <c r="L207" s="68"/>
      <c r="M207" s="68"/>
      <c r="N207" s="68" t="s">
        <v>1672</v>
      </c>
      <c r="O207" s="68"/>
    </row>
    <row r="208" spans="1:26" ht="12.75">
      <c r="A208" s="68" t="s">
        <v>386</v>
      </c>
      <c r="B208" s="69">
        <v>45466</v>
      </c>
      <c r="C208" s="68" t="s">
        <v>1673</v>
      </c>
      <c r="D208" s="68" t="s">
        <v>171</v>
      </c>
      <c r="E208" s="68"/>
      <c r="F208" s="68">
        <v>2</v>
      </c>
      <c r="G208" s="68">
        <v>2</v>
      </c>
      <c r="H208" s="68">
        <v>2</v>
      </c>
      <c r="I208" s="68">
        <v>8</v>
      </c>
      <c r="J208" s="68"/>
      <c r="K208" s="68">
        <v>2</v>
      </c>
      <c r="L208" s="68">
        <v>2</v>
      </c>
      <c r="M208" s="68"/>
      <c r="N208" s="68" t="s">
        <v>1674</v>
      </c>
      <c r="O208" s="68" t="s">
        <v>1675</v>
      </c>
    </row>
    <row r="209" spans="1:15" ht="12.75">
      <c r="A209" s="68" t="s">
        <v>386</v>
      </c>
      <c r="B209" s="69">
        <v>45469</v>
      </c>
      <c r="C209" s="68" t="s">
        <v>1676</v>
      </c>
      <c r="D209" s="68" t="s">
        <v>28</v>
      </c>
      <c r="E209" s="68"/>
      <c r="F209" s="68">
        <v>2</v>
      </c>
      <c r="G209" s="68">
        <v>2</v>
      </c>
      <c r="H209" s="68">
        <v>2</v>
      </c>
      <c r="I209" s="68">
        <v>5</v>
      </c>
      <c r="J209" s="68">
        <v>1</v>
      </c>
      <c r="K209" s="68">
        <v>1</v>
      </c>
      <c r="L209" s="68">
        <v>1</v>
      </c>
      <c r="M209" s="68"/>
      <c r="N209" s="68" t="s">
        <v>1677</v>
      </c>
      <c r="O209" s="68"/>
    </row>
    <row r="210" spans="1:15" ht="12.75">
      <c r="A210" s="68" t="s">
        <v>386</v>
      </c>
      <c r="B210" s="69">
        <v>45469</v>
      </c>
      <c r="C210" s="68" t="s">
        <v>1678</v>
      </c>
      <c r="D210" s="68" t="s">
        <v>93</v>
      </c>
      <c r="E210" s="68"/>
      <c r="F210" s="68">
        <v>10</v>
      </c>
      <c r="G210" s="68">
        <v>10</v>
      </c>
      <c r="H210" s="68">
        <v>10</v>
      </c>
      <c r="I210" s="68">
        <v>10</v>
      </c>
      <c r="J210" s="68">
        <v>10</v>
      </c>
      <c r="K210" s="68">
        <v>10</v>
      </c>
      <c r="L210" s="68">
        <v>10</v>
      </c>
      <c r="M210" s="68" t="s">
        <v>1679</v>
      </c>
      <c r="N210" s="68"/>
      <c r="O210" s="68"/>
    </row>
    <row r="211" spans="1:15" ht="12.75">
      <c r="A211" s="68" t="s">
        <v>357</v>
      </c>
      <c r="B211" s="69">
        <v>45455</v>
      </c>
      <c r="C211" s="10" t="s">
        <v>1680</v>
      </c>
      <c r="D211" s="68" t="s">
        <v>416</v>
      </c>
      <c r="E211" s="68">
        <v>559011440</v>
      </c>
      <c r="F211" s="68">
        <v>8</v>
      </c>
      <c r="G211" s="68">
        <v>8</v>
      </c>
      <c r="H211" s="68">
        <v>8</v>
      </c>
      <c r="I211" s="68">
        <v>10</v>
      </c>
      <c r="J211" s="68">
        <v>4</v>
      </c>
      <c r="K211" s="68">
        <v>8</v>
      </c>
      <c r="L211" s="68">
        <v>8</v>
      </c>
      <c r="M211" s="68"/>
      <c r="N211" s="68" t="s">
        <v>671</v>
      </c>
      <c r="O211" s="68" t="s">
        <v>1681</v>
      </c>
    </row>
    <row r="212" spans="1:15" ht="12.75">
      <c r="A212" s="68" t="s">
        <v>357</v>
      </c>
      <c r="B212" s="69">
        <v>45457</v>
      </c>
      <c r="C212" s="10" t="s">
        <v>1682</v>
      </c>
      <c r="D212" s="68" t="s">
        <v>327</v>
      </c>
      <c r="E212" s="68">
        <v>560217881</v>
      </c>
      <c r="F212" s="68">
        <v>10</v>
      </c>
      <c r="G212" s="68">
        <v>10</v>
      </c>
      <c r="H212" s="68">
        <v>10</v>
      </c>
      <c r="I212" s="68">
        <v>10</v>
      </c>
      <c r="J212" s="68">
        <v>10</v>
      </c>
      <c r="K212" s="68">
        <v>10</v>
      </c>
      <c r="L212" s="68">
        <v>10</v>
      </c>
      <c r="M212" s="68" t="s">
        <v>1683</v>
      </c>
      <c r="N212" s="68"/>
      <c r="O212" s="68" t="s">
        <v>1684</v>
      </c>
    </row>
    <row r="213" spans="1:15" ht="12.75">
      <c r="A213" s="68" t="s">
        <v>357</v>
      </c>
      <c r="B213" s="69">
        <v>45458</v>
      </c>
      <c r="C213" s="10" t="s">
        <v>1685</v>
      </c>
      <c r="D213" s="68" t="s">
        <v>148</v>
      </c>
      <c r="E213" s="68">
        <v>562396225</v>
      </c>
      <c r="F213" s="68">
        <v>6.3</v>
      </c>
      <c r="G213" s="68">
        <v>6</v>
      </c>
      <c r="H213" s="68">
        <v>4</v>
      </c>
      <c r="I213" s="68">
        <v>10</v>
      </c>
      <c r="J213" s="68">
        <v>4</v>
      </c>
      <c r="K213" s="68">
        <v>6</v>
      </c>
      <c r="L213" s="68">
        <v>4</v>
      </c>
      <c r="M213" s="68"/>
      <c r="N213" s="68" t="s">
        <v>671</v>
      </c>
      <c r="O213" s="68" t="s">
        <v>1686</v>
      </c>
    </row>
    <row r="214" spans="1:15" ht="12.75">
      <c r="A214" s="68" t="s">
        <v>1687</v>
      </c>
      <c r="B214" s="69">
        <v>45444</v>
      </c>
      <c r="C214" s="68" t="s">
        <v>1688</v>
      </c>
      <c r="D214" s="68" t="s">
        <v>148</v>
      </c>
      <c r="E214" s="68"/>
      <c r="F214" s="68">
        <v>0</v>
      </c>
      <c r="G214" s="68"/>
      <c r="H214" s="68"/>
      <c r="I214" s="68"/>
      <c r="J214" s="68"/>
      <c r="K214" s="68"/>
      <c r="L214" s="68"/>
      <c r="M214" s="68"/>
      <c r="N214" s="68" t="s">
        <v>1689</v>
      </c>
      <c r="O214" s="68" t="s">
        <v>1690</v>
      </c>
    </row>
  </sheetData>
  <autoFilter ref="A1:O214" xr:uid="{00000000-0009-0000-0000-000009000000}"/>
  <conditionalFormatting sqref="F1:L338">
    <cfRule type="cellIs" dxfId="0" priority="1" operator="lessThan">
      <formula>6</formula>
    </cfRule>
  </conditionalFormatting>
  <pageMargins left="0.7" right="0.7" top="0.75" bottom="0.75" header="0.3" footer="0.3"/>
  <headerFooter>
    <oddFooter>&amp;L_x000D_&amp;1#&amp;"Aptos"&amp;10&amp;K000000 Public</oddFooter>
  </headerFooter>
</worksheet>
</file>

<file path=docMetadata/LabelInfo.xml><?xml version="1.0" encoding="utf-8"?>
<clbl:labelList xmlns:clbl="http://schemas.microsoft.com/office/2020/mipLabelMetadata">
  <clbl:label id="{1ff2e03b-187b-40b1-b0ec-fe4bf74f2e7f}" enabled="1" method="Standard" siteId="{b4fbefaa-1b47-415f-a2b5-baed3cba70e3}"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Reporting reviews</vt:lpstr>
      <vt:lpstr>March</vt:lpstr>
      <vt:lpstr>Review analysis_March</vt:lpstr>
      <vt:lpstr>April</vt:lpstr>
      <vt:lpstr>Review analysis_April</vt:lpstr>
      <vt:lpstr>May</vt:lpstr>
      <vt:lpstr>Significant statistics for May</vt:lpstr>
      <vt:lpstr>geographic analysis</vt:lpstr>
      <vt:lpstr>Review analysis_May</vt:lpstr>
      <vt:lpstr>June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Mouhaned Salah</dc:creator>
  <cp:lastModifiedBy>Mouhaned Salah</cp:lastModifiedBy>
  <dcterms:created xsi:type="dcterms:W3CDTF">2026-06-24T13:32:05Z</dcterms:created>
  <dcterms:modified xsi:type="dcterms:W3CDTF">2026-06-24T13:32:05Z</dcterms:modified>
</cp:coreProperties>
</file>